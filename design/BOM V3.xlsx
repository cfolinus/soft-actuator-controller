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olinus/Documents/MIT/CMF FIDL/07 Control/soft-actuator-controller/design/"/>
    </mc:Choice>
  </mc:AlternateContent>
  <xr:revisionPtr revIDLastSave="0" documentId="13_ncr:1_{00515B35-050D-0747-8DC9-5B8D38DB1C90}" xr6:coauthVersionLast="47" xr6:coauthVersionMax="47" xr10:uidLastSave="{00000000-0000-0000-0000-000000000000}"/>
  <bookViews>
    <workbookView xWindow="2940" yWindow="760" windowWidth="31140" windowHeight="20620" activeTab="1" xr2:uid="{FA5855A5-3010-7241-B1B3-7208A88B7A12}"/>
  </bookViews>
  <sheets>
    <sheet name="Test stand" sheetId="1" r:id="rId1"/>
    <sheet name="Controller box" sheetId="3" r:id="rId2"/>
  </sheets>
  <definedNames>
    <definedName name="_xlnm._FilterDatabase" localSheetId="1" hidden="1">'Controller box'!$A$1:$H$28</definedName>
    <definedName name="_xlnm._FilterDatabase" localSheetId="0" hidden="1">'Test stand'!$A$1:$G$1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4" i="1"/>
</calcChain>
</file>

<file path=xl/sharedStrings.xml><?xml version="1.0" encoding="utf-8"?>
<sst xmlns="http://schemas.openxmlformats.org/spreadsheetml/2006/main" count="286" uniqueCount="128">
  <si>
    <t>Part type</t>
  </si>
  <si>
    <t>Category</t>
  </si>
  <si>
    <t>Quantity</t>
  </si>
  <si>
    <t>Supplier</t>
  </si>
  <si>
    <t>Part number</t>
  </si>
  <si>
    <t>Notes</t>
  </si>
  <si>
    <t>Electronics</t>
  </si>
  <si>
    <t>Flyback diode: need 1A with at least 24V safety</t>
  </si>
  <si>
    <t>Need 1x solenoid, or 2x channel</t>
  </si>
  <si>
    <t>Digikey</t>
  </si>
  <si>
    <t>1N4001DICT-ND</t>
  </si>
  <si>
    <t>480-6637-ND</t>
  </si>
  <si>
    <t>SD card reader</t>
  </si>
  <si>
    <t>IRLB8721PBF</t>
  </si>
  <si>
    <t>Leadtime</t>
  </si>
  <si>
    <t>Ships immediately</t>
  </si>
  <si>
    <t>Have in lab</t>
  </si>
  <si>
    <t>1050-ABX00080-ND</t>
  </si>
  <si>
    <t>May replace in future versions</t>
  </si>
  <si>
    <t>Hardware</t>
  </si>
  <si>
    <t>CUSTOM</t>
  </si>
  <si>
    <t>McMaster</t>
  </si>
  <si>
    <t>5537T14</t>
  </si>
  <si>
    <t>Pneumatics</t>
  </si>
  <si>
    <t>Regulator</t>
  </si>
  <si>
    <t>Pressure Gauge</t>
  </si>
  <si>
    <t>EFB-1DV-24-L</t>
  </si>
  <si>
    <t>Amazon</t>
  </si>
  <si>
    <t xml:space="preserve">
Need 1x microcontroller
Any SD card reader will do</t>
  </si>
  <si>
    <t>Solenoids: 2-2 NC fill-bleed circuit</t>
  </si>
  <si>
    <t>Clippard</t>
  </si>
  <si>
    <t>Any will do that can take ≥24V</t>
  </si>
  <si>
    <t xml:space="preserve">5537T651	</t>
  </si>
  <si>
    <t>90128A236</t>
  </si>
  <si>
    <t>N/A (have in lab)</t>
  </si>
  <si>
    <t>N/A (to print)</t>
  </si>
  <si>
    <t>Arduino Nano</t>
  </si>
  <si>
    <t>Nylon Tubing, 1/4" OD, (Quantity in ft.)</t>
  </si>
  <si>
    <t>Accepts 0.19" male barb</t>
  </si>
  <si>
    <t>Need 2x per solenoid</t>
  </si>
  <si>
    <t>16x2 I2C LCD Screen</t>
  </si>
  <si>
    <t>Toggle switch</t>
  </si>
  <si>
    <t>If swap to 3mm panels, knock M5x10mm down to M5x8mm</t>
  </si>
  <si>
    <t>For optical table mounting</t>
  </si>
  <si>
    <t>51525K123</t>
  </si>
  <si>
    <t>Plug Coupling, for 1/8" Barbed Tube ID, Nylon</t>
  </si>
  <si>
    <t>DFR0379</t>
  </si>
  <si>
    <t>CN0295D</t>
  </si>
  <si>
    <t>D6R40 F2 LFS</t>
  </si>
  <si>
    <t>D6R50 F2 LFS</t>
  </si>
  <si>
    <t>A135</t>
  </si>
  <si>
    <t>90128A234</t>
  </si>
  <si>
    <t>90128A232</t>
  </si>
  <si>
    <t>90591A260</t>
  </si>
  <si>
    <t>5047K92</t>
  </si>
  <si>
    <t>Bottom lengthwise rails</t>
  </si>
  <si>
    <t>Top lengthwise rails</t>
  </si>
  <si>
    <t>Vertical rails</t>
  </si>
  <si>
    <t>Width rails</t>
  </si>
  <si>
    <t>94868A164</t>
  </si>
  <si>
    <t>Buck Converter Mounting</t>
  </si>
  <si>
    <t>3810N126</t>
  </si>
  <si>
    <t>94868A767</t>
  </si>
  <si>
    <t>Panel-mounted start button</t>
  </si>
  <si>
    <t>Panel-mounted end button</t>
  </si>
  <si>
    <t>Button: Red, panel-mount</t>
  </si>
  <si>
    <t>Button: Green, panel-mount</t>
  </si>
  <si>
    <t>Pressure sensor: need ~50 psi on 5V</t>
  </si>
  <si>
    <t>MOSFET, N-type</t>
  </si>
  <si>
    <t>Resistor: 220 ohm</t>
  </si>
  <si>
    <t>Resistor: 10 kiloohm</t>
  </si>
  <si>
    <t>-</t>
  </si>
  <si>
    <t>N/A: have in lab</t>
  </si>
  <si>
    <t>Have in lab; need 1x solenoid or 2x channel</t>
  </si>
  <si>
    <t>AC-DC Converter: 24V, barrel jack</t>
  </si>
  <si>
    <t>Barrel jack: female</t>
  </si>
  <si>
    <t>UPC: 702455816532
https://a.co/d/1JOlVK0</t>
  </si>
  <si>
    <t>ASIN:  B0C4JJ2HB4
https://a.co/d/0dsnb8M</t>
  </si>
  <si>
    <t>ASIN:  B087PYW9BS
https://a.co/d/0gOuDZar</t>
  </si>
  <si>
    <t>https://a.co/d/6jeblcI</t>
  </si>
  <si>
    <t>Inline shutoff valve: 1/4" OD push-to-connect</t>
  </si>
  <si>
    <t>Right-Angle Tee: 1/8" Tube ID x 1/4" Stem OD</t>
  </si>
  <si>
    <t>5233K52</t>
  </si>
  <si>
    <t>Ships in five business days</t>
  </si>
  <si>
    <t>Standoffs: M3-0.5, 8mm</t>
  </si>
  <si>
    <t>Standoffs: M5-0.8, 50mm</t>
  </si>
  <si>
    <t>Bumper: M6-1, 18mm</t>
  </si>
  <si>
    <t>Platform feet</t>
  </si>
  <si>
    <t>For connecting acrylic panels</t>
  </si>
  <si>
    <t>Standoffs: M2, XX mm</t>
  </si>
  <si>
    <t>XX</t>
  </si>
  <si>
    <t>End cap: 20 mm profile</t>
  </si>
  <si>
    <t>Screw: M5x12mm</t>
  </si>
  <si>
    <t>Screw: M5x10mm</t>
  </si>
  <si>
    <t>Nut: M5</t>
  </si>
  <si>
    <t>(OPTIONAL) Screw: M5x8mm</t>
  </si>
  <si>
    <t>(OPTIONAL) Screw: M6x8mm</t>
  </si>
  <si>
    <t>T-slot: 20mm profile, 230mm long</t>
  </si>
  <si>
    <t>T-slot: 20mm profile, 160mm long</t>
  </si>
  <si>
    <t>T-slot: 20mm profile, 200mm long</t>
  </si>
  <si>
    <t>T-slot: 20mm profile, 80mm long</t>
  </si>
  <si>
    <t>Acrylic panel: Front panel, 5 mm, clear</t>
  </si>
  <si>
    <t>Acrylic panel: Left panel (mounting), 5 mm, white</t>
  </si>
  <si>
    <t>Acrylic panel: Back panel (electronics), 5 mm</t>
  </si>
  <si>
    <t>Acrylic panel: Right panel, 5 mm, clear</t>
  </si>
  <si>
    <t>Acrylic panel: Top (mounting), 5 mm, white</t>
  </si>
  <si>
    <t>(OPTIONAL) Elbow bracket: M5-to-M6</t>
  </si>
  <si>
    <t>Gusset: M5</t>
  </si>
  <si>
    <t>Custom: cut-to-length</t>
  </si>
  <si>
    <t>Custom: laser cut</t>
  </si>
  <si>
    <t>Custom: 3D printed</t>
  </si>
  <si>
    <t>T-nut: M5</t>
  </si>
  <si>
    <t>Solenoid mount</t>
  </si>
  <si>
    <t>Custom: 3D print</t>
  </si>
  <si>
    <t>Terminal block</t>
  </si>
  <si>
    <t>Mounting pattern (center-to-center)</t>
  </si>
  <si>
    <t>ø16 mm (5/8-16 thread)</t>
  </si>
  <si>
    <t>Perfboard: 50 x 70 mm</t>
  </si>
  <si>
    <t>SLOT: 13.3 x 19.3 mm</t>
  </si>
  <si>
    <t>B08TBXQ7H6
https://a.co/d/gJ8SpPd</t>
  </si>
  <si>
    <t>ASIN:    B087PYW9BS
https://a.co/d/ddDS0vr</t>
  </si>
  <si>
    <t>DCDC buck converter, 24 V -&gt; 7.5 V Capability</t>
  </si>
  <si>
    <t>2xM3: 35 mm</t>
  </si>
  <si>
    <t>2xM3: 90 mm</t>
  </si>
  <si>
    <t>4xM3: 31.4 x 75.4 mm</t>
  </si>
  <si>
    <t>4xM2: 45 x 65 mm (should confirm)</t>
  </si>
  <si>
    <t>4xM2: 19.0 x 38.4 mm</t>
  </si>
  <si>
    <t>4xM3: 31.0 x 61.0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</si>
</sst>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rialMT"/>
      <family val="2"/>
    </font>
    <font>
      <b/>
      <sz val="15"/>
      <color theme="1"/>
      <name val="ArialMT"/>
    </font>
    <font>
      <sz val="12"/>
      <color rgb="FF444444"/>
      <name val="Arial"/>
      <family val="2"/>
    </font>
    <font>
      <sz val="12"/>
      <color rgb="FF000000"/>
      <name val="ArialMT"/>
      <family val="2"/>
    </font>
    <font>
      <u/>
      <sz val="12"/>
      <color theme="10"/>
      <name val="ArialMT"/>
      <family val="2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3" borderId="0" xfId="0" applyFill="1"/>
    <xf numFmtId="0" fontId="2" fillId="0" borderId="0" xfId="0" applyFont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5" fillId="0" borderId="0" xfId="0" applyFont="1"/>
    <xf numFmtId="0" fontId="4" fillId="0" borderId="0" xfId="1" applyFill="1"/>
    <xf numFmtId="0" fontId="3" fillId="3" borderId="0" xfId="0" applyFont="1" applyFill="1"/>
    <xf numFmtId="0" fontId="3" fillId="0" borderId="0" xfId="0" quotePrefix="1" applyFont="1"/>
    <xf numFmtId="0" fontId="0" fillId="3" borderId="0" xfId="0" applyFill="1" applyAlignment="1">
      <alignment wrapText="1"/>
    </xf>
    <xf numFmtId="0" fontId="4" fillId="0" borderId="0" xfId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.co/d/6jebl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5D1FD-22B4-BC48-B227-3781614AC406}">
  <dimension ref="A1:G19"/>
  <sheetViews>
    <sheetView zoomScaleNormal="100" workbookViewId="0">
      <pane xSplit="2" topLeftCell="C1" activePane="topRight" state="frozen"/>
      <selection pane="topRight" activeCell="B44" sqref="B44"/>
    </sheetView>
  </sheetViews>
  <sheetFormatPr baseColWidth="10" defaultRowHeight="16"/>
  <cols>
    <col min="2" max="2" width="38.140625" bestFit="1" customWidth="1"/>
    <col min="3" max="3" width="9.5703125" bestFit="1" customWidth="1"/>
    <col min="4" max="4" width="17.7109375" bestFit="1" customWidth="1"/>
    <col min="5" max="5" width="21" bestFit="1" customWidth="1"/>
    <col min="6" max="6" width="15.7109375" customWidth="1"/>
    <col min="7" max="7" width="63" bestFit="1" customWidth="1"/>
  </cols>
  <sheetData>
    <row r="1" spans="1:7" s="1" customFormat="1" ht="71" customHeight="1">
      <c r="A1" s="2" t="s">
        <v>1</v>
      </c>
      <c r="B1" s="2" t="s">
        <v>0</v>
      </c>
      <c r="C1" s="2" t="s">
        <v>2</v>
      </c>
      <c r="D1" s="2" t="s">
        <v>3</v>
      </c>
      <c r="E1" s="2" t="s">
        <v>4</v>
      </c>
      <c r="F1" s="2" t="s">
        <v>14</v>
      </c>
      <c r="G1" s="2" t="s">
        <v>5</v>
      </c>
    </row>
    <row r="2" spans="1:7">
      <c r="A2" s="7" t="s">
        <v>19</v>
      </c>
      <c r="B2" t="s">
        <v>106</v>
      </c>
      <c r="C2">
        <v>4</v>
      </c>
      <c r="D2" s="5" t="s">
        <v>110</v>
      </c>
      <c r="E2" s="5" t="s">
        <v>20</v>
      </c>
      <c r="F2" s="12" t="s">
        <v>71</v>
      </c>
      <c r="G2" s="5" t="s">
        <v>43</v>
      </c>
    </row>
    <row r="3" spans="1:7">
      <c r="A3" s="7" t="s">
        <v>19</v>
      </c>
      <c r="B3" t="s">
        <v>95</v>
      </c>
      <c r="C3">
        <v>4</v>
      </c>
      <c r="D3" s="5" t="s">
        <v>21</v>
      </c>
      <c r="E3" s="5" t="s">
        <v>52</v>
      </c>
      <c r="F3" s="5" t="s">
        <v>15</v>
      </c>
      <c r="G3" s="5" t="s">
        <v>43</v>
      </c>
    </row>
    <row r="4" spans="1:7">
      <c r="A4" s="7" t="s">
        <v>19</v>
      </c>
      <c r="B4" t="s">
        <v>96</v>
      </c>
      <c r="C4">
        <v>4</v>
      </c>
      <c r="D4" s="5" t="s">
        <v>21</v>
      </c>
      <c r="E4" s="5" t="s">
        <v>59</v>
      </c>
      <c r="F4" s="5" t="s">
        <v>15</v>
      </c>
      <c r="G4" s="5" t="s">
        <v>43</v>
      </c>
    </row>
    <row r="5" spans="1:7">
      <c r="A5" s="7" t="s">
        <v>19</v>
      </c>
      <c r="B5" t="s">
        <v>103</v>
      </c>
      <c r="C5">
        <v>1</v>
      </c>
      <c r="D5" s="5" t="s">
        <v>109</v>
      </c>
      <c r="E5" s="5" t="s">
        <v>20</v>
      </c>
      <c r="F5" s="12" t="s">
        <v>71</v>
      </c>
      <c r="G5" s="5"/>
    </row>
    <row r="6" spans="1:7" ht="17">
      <c r="A6" s="7" t="s">
        <v>19</v>
      </c>
      <c r="B6" s="1" t="s">
        <v>101</v>
      </c>
      <c r="C6">
        <v>1</v>
      </c>
      <c r="D6" s="5" t="s">
        <v>109</v>
      </c>
      <c r="E6" s="5" t="s">
        <v>20</v>
      </c>
      <c r="F6" s="12" t="s">
        <v>71</v>
      </c>
      <c r="G6" s="5" t="s">
        <v>42</v>
      </c>
    </row>
    <row r="7" spans="1:7">
      <c r="A7" s="7" t="s">
        <v>19</v>
      </c>
      <c r="B7" t="s">
        <v>102</v>
      </c>
      <c r="C7">
        <v>1</v>
      </c>
      <c r="D7" s="5" t="s">
        <v>109</v>
      </c>
      <c r="E7" s="5" t="s">
        <v>20</v>
      </c>
      <c r="F7" s="12" t="s">
        <v>71</v>
      </c>
      <c r="G7" s="5"/>
    </row>
    <row r="8" spans="1:7">
      <c r="A8" s="7" t="s">
        <v>19</v>
      </c>
      <c r="B8" t="s">
        <v>104</v>
      </c>
      <c r="C8">
        <v>1</v>
      </c>
      <c r="D8" s="5" t="s">
        <v>109</v>
      </c>
      <c r="E8" s="5" t="s">
        <v>20</v>
      </c>
      <c r="F8" s="12" t="s">
        <v>71</v>
      </c>
      <c r="G8" s="5"/>
    </row>
    <row r="9" spans="1:7">
      <c r="A9" s="7" t="s">
        <v>19</v>
      </c>
      <c r="B9" t="s">
        <v>105</v>
      </c>
      <c r="C9">
        <v>1</v>
      </c>
      <c r="D9" s="5" t="s">
        <v>109</v>
      </c>
      <c r="E9" s="5" t="s">
        <v>20</v>
      </c>
      <c r="F9" s="12" t="s">
        <v>71</v>
      </c>
      <c r="G9" s="5"/>
    </row>
    <row r="10" spans="1:7">
      <c r="A10" s="7" t="s">
        <v>19</v>
      </c>
      <c r="B10" t="s">
        <v>91</v>
      </c>
      <c r="C10">
        <v>8</v>
      </c>
      <c r="D10" s="5" t="s">
        <v>21</v>
      </c>
      <c r="E10" t="s">
        <v>22</v>
      </c>
      <c r="F10" s="5" t="s">
        <v>15</v>
      </c>
    </row>
    <row r="11" spans="1:7">
      <c r="A11" s="7" t="s">
        <v>19</v>
      </c>
      <c r="B11" t="s">
        <v>107</v>
      </c>
      <c r="C11">
        <v>8</v>
      </c>
      <c r="D11" s="5" t="s">
        <v>35</v>
      </c>
      <c r="E11" s="5" t="s">
        <v>20</v>
      </c>
      <c r="F11" s="12" t="s">
        <v>71</v>
      </c>
      <c r="G11" s="5"/>
    </row>
    <row r="12" spans="1:7">
      <c r="A12" s="7" t="s">
        <v>19</v>
      </c>
      <c r="B12" t="s">
        <v>94</v>
      </c>
      <c r="C12">
        <v>16</v>
      </c>
      <c r="D12" s="5" t="s">
        <v>21</v>
      </c>
      <c r="E12" s="5" t="s">
        <v>53</v>
      </c>
      <c r="F12" s="5" t="s">
        <v>15</v>
      </c>
      <c r="G12" s="5"/>
    </row>
    <row r="13" spans="1:7">
      <c r="A13" s="7" t="s">
        <v>19</v>
      </c>
      <c r="B13" t="s">
        <v>93</v>
      </c>
      <c r="C13">
        <v>36</v>
      </c>
      <c r="D13" s="5" t="s">
        <v>21</v>
      </c>
      <c r="E13" s="5" t="s">
        <v>51</v>
      </c>
      <c r="F13" s="5" t="s">
        <v>15</v>
      </c>
      <c r="G13" s="5"/>
    </row>
    <row r="14" spans="1:7">
      <c r="A14" s="7" t="s">
        <v>19</v>
      </c>
      <c r="B14" t="s">
        <v>92</v>
      </c>
      <c r="C14">
        <f>16*2</f>
        <v>32</v>
      </c>
      <c r="D14" s="5" t="s">
        <v>21</v>
      </c>
      <c r="E14" s="5" t="s">
        <v>33</v>
      </c>
      <c r="F14" s="5" t="s">
        <v>15</v>
      </c>
      <c r="G14" s="5"/>
    </row>
    <row r="15" spans="1:7">
      <c r="A15" s="7" t="s">
        <v>19</v>
      </c>
      <c r="B15" t="s">
        <v>111</v>
      </c>
      <c r="C15">
        <f>32+16+4</f>
        <v>52</v>
      </c>
      <c r="D15" s="5" t="s">
        <v>21</v>
      </c>
      <c r="E15" s="5" t="s">
        <v>32</v>
      </c>
      <c r="F15" s="5" t="s">
        <v>15</v>
      </c>
      <c r="G15" s="5"/>
    </row>
    <row r="16" spans="1:7">
      <c r="A16" s="7" t="s">
        <v>19</v>
      </c>
      <c r="B16" t="s">
        <v>98</v>
      </c>
      <c r="C16">
        <v>2</v>
      </c>
      <c r="D16" s="5" t="s">
        <v>108</v>
      </c>
      <c r="E16" s="5" t="s">
        <v>20</v>
      </c>
      <c r="F16" s="12" t="s">
        <v>71</v>
      </c>
      <c r="G16" s="5" t="s">
        <v>56</v>
      </c>
    </row>
    <row r="17" spans="1:7">
      <c r="A17" s="7" t="s">
        <v>19</v>
      </c>
      <c r="B17" t="s">
        <v>99</v>
      </c>
      <c r="C17">
        <v>2</v>
      </c>
      <c r="D17" s="5" t="s">
        <v>108</v>
      </c>
      <c r="E17" s="5" t="s">
        <v>20</v>
      </c>
      <c r="F17" s="12" t="s">
        <v>71</v>
      </c>
      <c r="G17" s="5" t="s">
        <v>55</v>
      </c>
    </row>
    <row r="18" spans="1:7">
      <c r="A18" s="7" t="s">
        <v>19</v>
      </c>
      <c r="B18" t="s">
        <v>97</v>
      </c>
      <c r="C18">
        <v>4</v>
      </c>
      <c r="D18" s="5" t="s">
        <v>108</v>
      </c>
      <c r="E18" s="5" t="s">
        <v>20</v>
      </c>
      <c r="F18" s="12" t="s">
        <v>71</v>
      </c>
      <c r="G18" s="5" t="s">
        <v>57</v>
      </c>
    </row>
    <row r="19" spans="1:7">
      <c r="A19" s="7" t="s">
        <v>19</v>
      </c>
      <c r="B19" t="s">
        <v>100</v>
      </c>
      <c r="C19">
        <v>4</v>
      </c>
      <c r="D19" s="5" t="s">
        <v>108</v>
      </c>
      <c r="E19" s="5" t="s">
        <v>20</v>
      </c>
      <c r="F19" s="12" t="s">
        <v>71</v>
      </c>
      <c r="G19" s="5" t="s">
        <v>58</v>
      </c>
    </row>
  </sheetData>
  <autoFilter ref="A1:G1" xr:uid="{93E5D1FD-22B4-BC48-B227-3781614AC406}">
    <sortState xmlns:xlrd2="http://schemas.microsoft.com/office/spreadsheetml/2017/richdata2" ref="A2:G19">
      <sortCondition ref="B1:B1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39F7C-C247-1D46-BC00-438E18CD0E8B}">
  <dimension ref="A1:H29"/>
  <sheetViews>
    <sheetView tabSelected="1" workbookViewId="0">
      <selection activeCell="F33" sqref="F33"/>
    </sheetView>
  </sheetViews>
  <sheetFormatPr baseColWidth="10" defaultRowHeight="16"/>
  <cols>
    <col min="2" max="2" width="38.140625" bestFit="1" customWidth="1"/>
    <col min="3" max="3" width="9.5703125" bestFit="1" customWidth="1"/>
    <col min="4" max="4" width="15.7109375" customWidth="1"/>
    <col min="5" max="5" width="21" bestFit="1" customWidth="1"/>
    <col min="6" max="6" width="15.7109375" customWidth="1"/>
    <col min="7" max="7" width="23.28515625" customWidth="1"/>
    <col min="8" max="8" width="36.7109375" customWidth="1"/>
  </cols>
  <sheetData>
    <row r="1" spans="1:8" s="1" customFormat="1" ht="71" customHeight="1">
      <c r="A1" s="2" t="s">
        <v>1</v>
      </c>
      <c r="B1" s="2" t="s">
        <v>0</v>
      </c>
      <c r="C1" s="2" t="s">
        <v>2</v>
      </c>
      <c r="D1" s="2" t="s">
        <v>3</v>
      </c>
      <c r="E1" s="2" t="s">
        <v>4</v>
      </c>
      <c r="F1" s="2" t="s">
        <v>14</v>
      </c>
      <c r="G1" s="2" t="s">
        <v>115</v>
      </c>
      <c r="H1" s="2" t="s">
        <v>5</v>
      </c>
    </row>
    <row r="2" spans="1:8" ht="15" customHeight="1">
      <c r="A2" s="6" t="s">
        <v>6</v>
      </c>
      <c r="B2" t="s">
        <v>41</v>
      </c>
      <c r="C2">
        <v>1</v>
      </c>
      <c r="D2" t="s">
        <v>27</v>
      </c>
      <c r="E2" s="1" t="s">
        <v>120</v>
      </c>
      <c r="F2" t="s">
        <v>15</v>
      </c>
      <c r="G2" t="s">
        <v>118</v>
      </c>
      <c r="H2" t="s">
        <v>31</v>
      </c>
    </row>
    <row r="3" spans="1:8" ht="15" customHeight="1">
      <c r="A3" s="6" t="s">
        <v>6</v>
      </c>
      <c r="B3" t="s">
        <v>66</v>
      </c>
      <c r="C3">
        <v>2</v>
      </c>
      <c r="D3" t="s">
        <v>9</v>
      </c>
      <c r="E3" t="s">
        <v>49</v>
      </c>
      <c r="F3" t="s">
        <v>15</v>
      </c>
      <c r="G3" t="s">
        <v>116</v>
      </c>
      <c r="H3" t="s">
        <v>63</v>
      </c>
    </row>
    <row r="4" spans="1:8" ht="15" customHeight="1">
      <c r="A4" s="6" t="s">
        <v>6</v>
      </c>
      <c r="B4" t="s">
        <v>65</v>
      </c>
      <c r="C4">
        <v>2</v>
      </c>
      <c r="D4" t="s">
        <v>9</v>
      </c>
      <c r="E4" t="s">
        <v>48</v>
      </c>
      <c r="F4" t="s">
        <v>15</v>
      </c>
      <c r="G4" t="s">
        <v>116</v>
      </c>
      <c r="H4" t="s">
        <v>64</v>
      </c>
    </row>
    <row r="5" spans="1:8" ht="15" customHeight="1">
      <c r="A5" s="6" t="s">
        <v>6</v>
      </c>
      <c r="B5" t="s">
        <v>121</v>
      </c>
      <c r="C5">
        <v>1</v>
      </c>
      <c r="D5" t="s">
        <v>9</v>
      </c>
      <c r="E5" t="s">
        <v>46</v>
      </c>
      <c r="F5" t="s">
        <v>15</v>
      </c>
      <c r="G5" t="s">
        <v>127</v>
      </c>
      <c r="H5" s="5"/>
    </row>
    <row r="6" spans="1:8" ht="15" customHeight="1">
      <c r="A6" s="6" t="s">
        <v>6</v>
      </c>
      <c r="B6" t="s">
        <v>40</v>
      </c>
      <c r="C6">
        <v>1</v>
      </c>
      <c r="D6" t="s">
        <v>9</v>
      </c>
      <c r="E6" t="s">
        <v>47</v>
      </c>
      <c r="F6" t="s">
        <v>15</v>
      </c>
      <c r="G6" t="s">
        <v>124</v>
      </c>
      <c r="H6" s="5"/>
    </row>
    <row r="7" spans="1:8" ht="15" customHeight="1">
      <c r="A7" s="6" t="s">
        <v>6</v>
      </c>
      <c r="B7" s="3" t="s">
        <v>117</v>
      </c>
      <c r="C7" s="3">
        <v>2</v>
      </c>
      <c r="D7" s="3" t="s">
        <v>27</v>
      </c>
      <c r="E7" s="13" t="s">
        <v>78</v>
      </c>
      <c r="F7" s="3" t="s">
        <v>15</v>
      </c>
      <c r="G7" s="3" t="s">
        <v>125</v>
      </c>
      <c r="H7" s="11"/>
    </row>
    <row r="8" spans="1:8" ht="15" customHeight="1">
      <c r="A8" s="6" t="s">
        <v>6</v>
      </c>
      <c r="B8" t="s">
        <v>12</v>
      </c>
      <c r="C8">
        <v>1</v>
      </c>
      <c r="D8" t="s">
        <v>9</v>
      </c>
      <c r="E8" s="10" t="s">
        <v>50</v>
      </c>
      <c r="F8" t="s">
        <v>15</v>
      </c>
      <c r="G8" s="5" t="s">
        <v>126</v>
      </c>
      <c r="H8" s="1" t="s">
        <v>28</v>
      </c>
    </row>
    <row r="9" spans="1:8" ht="15" customHeight="1">
      <c r="A9" s="6" t="s">
        <v>6</v>
      </c>
      <c r="B9" t="s">
        <v>114</v>
      </c>
      <c r="C9">
        <v>1</v>
      </c>
      <c r="D9" s="12" t="s">
        <v>27</v>
      </c>
      <c r="E9" s="1" t="s">
        <v>119</v>
      </c>
      <c r="F9" s="5" t="s">
        <v>15</v>
      </c>
      <c r="G9" s="12" t="s">
        <v>123</v>
      </c>
      <c r="H9" s="5"/>
    </row>
    <row r="10" spans="1:8" ht="15" customHeight="1">
      <c r="A10" s="8" t="s">
        <v>23</v>
      </c>
      <c r="B10" t="s">
        <v>112</v>
      </c>
      <c r="C10">
        <v>1</v>
      </c>
      <c r="D10" s="5" t="s">
        <v>113</v>
      </c>
      <c r="E10" t="s">
        <v>20</v>
      </c>
      <c r="F10" s="12" t="s">
        <v>71</v>
      </c>
      <c r="G10" s="5" t="s">
        <v>122</v>
      </c>
    </row>
    <row r="11" spans="1:8" ht="15" customHeight="1">
      <c r="A11" s="6" t="s">
        <v>6</v>
      </c>
      <c r="B11" t="s">
        <v>74</v>
      </c>
      <c r="C11">
        <v>1</v>
      </c>
      <c r="D11" t="s">
        <v>27</v>
      </c>
      <c r="E11" s="1" t="s">
        <v>76</v>
      </c>
      <c r="F11" t="s">
        <v>15</v>
      </c>
      <c r="G11" s="15" t="s">
        <v>71</v>
      </c>
      <c r="H11" s="5"/>
    </row>
    <row r="12" spans="1:8" ht="15" customHeight="1">
      <c r="A12" s="6" t="s">
        <v>6</v>
      </c>
      <c r="B12" t="s">
        <v>36</v>
      </c>
      <c r="C12">
        <v>1</v>
      </c>
      <c r="D12" t="s">
        <v>9</v>
      </c>
      <c r="E12" s="4" t="s">
        <v>17</v>
      </c>
      <c r="F12" t="s">
        <v>15</v>
      </c>
      <c r="G12" s="15" t="s">
        <v>71</v>
      </c>
      <c r="H12" t="s">
        <v>18</v>
      </c>
    </row>
    <row r="13" spans="1:8" ht="15" customHeight="1">
      <c r="A13" s="6" t="s">
        <v>6</v>
      </c>
      <c r="B13" t="s">
        <v>75</v>
      </c>
      <c r="C13">
        <v>1</v>
      </c>
      <c r="D13" t="s">
        <v>27</v>
      </c>
      <c r="E13" s="1" t="s">
        <v>77</v>
      </c>
      <c r="F13" t="s">
        <v>15</v>
      </c>
      <c r="G13" s="15" t="s">
        <v>71</v>
      </c>
      <c r="H13" s="5"/>
    </row>
    <row r="14" spans="1:8" ht="15" customHeight="1">
      <c r="A14" s="6" t="s">
        <v>6</v>
      </c>
      <c r="B14" t="s">
        <v>7</v>
      </c>
      <c r="C14">
        <v>4</v>
      </c>
      <c r="D14" t="s">
        <v>9</v>
      </c>
      <c r="E14" t="s">
        <v>10</v>
      </c>
      <c r="F14" t="s">
        <v>15</v>
      </c>
      <c r="G14" s="15" t="s">
        <v>71</v>
      </c>
      <c r="H14" t="s">
        <v>39</v>
      </c>
    </row>
    <row r="15" spans="1:8" ht="15" customHeight="1">
      <c r="A15" s="6" t="s">
        <v>6</v>
      </c>
      <c r="B15" t="s">
        <v>68</v>
      </c>
      <c r="C15">
        <v>2</v>
      </c>
      <c r="D15" t="s">
        <v>9</v>
      </c>
      <c r="E15" t="s">
        <v>13</v>
      </c>
      <c r="F15" t="s">
        <v>15</v>
      </c>
      <c r="G15" s="15" t="s">
        <v>71</v>
      </c>
      <c r="H15" t="s">
        <v>8</v>
      </c>
    </row>
    <row r="16" spans="1:8" ht="15" customHeight="1">
      <c r="A16" s="6" t="s">
        <v>6</v>
      </c>
      <c r="B16" t="s">
        <v>67</v>
      </c>
      <c r="C16">
        <v>1</v>
      </c>
      <c r="D16" t="s">
        <v>9</v>
      </c>
      <c r="E16" t="s">
        <v>11</v>
      </c>
      <c r="F16" t="s">
        <v>15</v>
      </c>
      <c r="G16" s="15" t="s">
        <v>71</v>
      </c>
      <c r="H16" s="1" t="s">
        <v>38</v>
      </c>
    </row>
    <row r="17" spans="1:8" ht="15" customHeight="1">
      <c r="A17" s="6" t="s">
        <v>6</v>
      </c>
      <c r="B17" t="s">
        <v>70</v>
      </c>
      <c r="C17">
        <v>2</v>
      </c>
      <c r="D17" s="12" t="s">
        <v>71</v>
      </c>
      <c r="E17" s="12" t="s">
        <v>71</v>
      </c>
      <c r="F17" s="5" t="s">
        <v>72</v>
      </c>
      <c r="G17" s="12" t="s">
        <v>71</v>
      </c>
      <c r="H17" s="5" t="s">
        <v>73</v>
      </c>
    </row>
    <row r="18" spans="1:8" ht="15" customHeight="1">
      <c r="A18" s="6" t="s">
        <v>6</v>
      </c>
      <c r="B18" t="s">
        <v>69</v>
      </c>
      <c r="C18">
        <v>2</v>
      </c>
      <c r="D18" s="12" t="s">
        <v>71</v>
      </c>
      <c r="E18" s="12" t="s">
        <v>71</v>
      </c>
      <c r="F18" s="5" t="s">
        <v>72</v>
      </c>
      <c r="G18" s="12" t="s">
        <v>71</v>
      </c>
      <c r="H18" s="5" t="s">
        <v>73</v>
      </c>
    </row>
    <row r="19" spans="1:8" ht="15" customHeight="1">
      <c r="A19" s="7" t="s">
        <v>19</v>
      </c>
      <c r="B19" t="s">
        <v>86</v>
      </c>
      <c r="C19">
        <v>4</v>
      </c>
      <c r="D19" s="5" t="s">
        <v>21</v>
      </c>
      <c r="E19" s="5" t="s">
        <v>61</v>
      </c>
      <c r="F19" s="5" t="s">
        <v>15</v>
      </c>
      <c r="G19" s="12" t="s">
        <v>71</v>
      </c>
      <c r="H19" s="5" t="s">
        <v>87</v>
      </c>
    </row>
    <row r="20" spans="1:8" ht="15" customHeight="1">
      <c r="A20" s="7" t="s">
        <v>19</v>
      </c>
      <c r="B20" s="3" t="s">
        <v>89</v>
      </c>
      <c r="C20" s="3" t="s">
        <v>90</v>
      </c>
      <c r="D20" s="3"/>
      <c r="E20" s="3"/>
      <c r="F20" s="3"/>
      <c r="G20" s="15" t="s">
        <v>71</v>
      </c>
      <c r="H20" s="3"/>
    </row>
    <row r="21" spans="1:8" ht="15" customHeight="1">
      <c r="A21" s="7" t="s">
        <v>19</v>
      </c>
      <c r="B21" s="3" t="s">
        <v>84</v>
      </c>
      <c r="C21" s="3" t="s">
        <v>90</v>
      </c>
      <c r="D21" s="11"/>
      <c r="E21" s="11"/>
      <c r="F21" s="11"/>
      <c r="G21" s="12" t="s">
        <v>71</v>
      </c>
      <c r="H21" s="5" t="s">
        <v>60</v>
      </c>
    </row>
    <row r="22" spans="1:8" ht="15" customHeight="1">
      <c r="A22" s="7" t="s">
        <v>19</v>
      </c>
      <c r="B22" t="s">
        <v>85</v>
      </c>
      <c r="C22">
        <v>6</v>
      </c>
      <c r="D22" s="5" t="s">
        <v>21</v>
      </c>
      <c r="E22" s="5" t="s">
        <v>62</v>
      </c>
      <c r="F22" s="5" t="s">
        <v>15</v>
      </c>
      <c r="G22" s="12" t="s">
        <v>71</v>
      </c>
      <c r="H22" s="5" t="s">
        <v>88</v>
      </c>
    </row>
    <row r="23" spans="1:8" ht="15" customHeight="1">
      <c r="A23" s="8" t="s">
        <v>23</v>
      </c>
      <c r="B23" t="s">
        <v>80</v>
      </c>
      <c r="C23">
        <v>3</v>
      </c>
      <c r="D23" s="5" t="s">
        <v>27</v>
      </c>
      <c r="E23" s="14" t="s">
        <v>79</v>
      </c>
      <c r="F23" s="5" t="s">
        <v>15</v>
      </c>
      <c r="G23" s="12" t="s">
        <v>71</v>
      </c>
    </row>
    <row r="24" spans="1:8" ht="15" customHeight="1">
      <c r="A24" s="8" t="s">
        <v>23</v>
      </c>
      <c r="B24" t="s">
        <v>37</v>
      </c>
      <c r="C24">
        <v>3</v>
      </c>
      <c r="D24" s="5" t="s">
        <v>34</v>
      </c>
      <c r="E24" s="5" t="s">
        <v>82</v>
      </c>
      <c r="F24" s="5" t="s">
        <v>16</v>
      </c>
      <c r="G24" s="12" t="s">
        <v>71</v>
      </c>
      <c r="H24" s="5"/>
    </row>
    <row r="25" spans="1:8" ht="15" customHeight="1">
      <c r="A25" s="8" t="s">
        <v>23</v>
      </c>
      <c r="B25" t="s">
        <v>45</v>
      </c>
      <c r="C25">
        <v>1</v>
      </c>
      <c r="D25" s="5" t="s">
        <v>21</v>
      </c>
      <c r="E25" s="9" t="s">
        <v>44</v>
      </c>
      <c r="F25" s="5" t="s">
        <v>15</v>
      </c>
      <c r="G25" s="12" t="s">
        <v>71</v>
      </c>
    </row>
    <row r="26" spans="1:8" ht="15" customHeight="1">
      <c r="A26" s="8" t="s">
        <v>23</v>
      </c>
      <c r="B26" s="3" t="s">
        <v>25</v>
      </c>
      <c r="C26" s="3">
        <v>1</v>
      </c>
      <c r="D26" s="11" t="s">
        <v>34</v>
      </c>
      <c r="E26" s="3"/>
      <c r="F26" s="3"/>
      <c r="G26" s="12" t="s">
        <v>71</v>
      </c>
      <c r="H26" s="3"/>
    </row>
    <row r="27" spans="1:8" ht="15" customHeight="1">
      <c r="A27" s="8" t="s">
        <v>23</v>
      </c>
      <c r="B27" s="3" t="s">
        <v>24</v>
      </c>
      <c r="C27" s="3">
        <v>1</v>
      </c>
      <c r="D27" s="11" t="s">
        <v>34</v>
      </c>
      <c r="E27" s="3"/>
      <c r="F27" s="3"/>
      <c r="G27" s="12" t="s">
        <v>71</v>
      </c>
      <c r="H27" s="3"/>
    </row>
    <row r="28" spans="1:8">
      <c r="A28" s="8" t="s">
        <v>23</v>
      </c>
      <c r="B28" t="s">
        <v>81</v>
      </c>
      <c r="C28">
        <v>1</v>
      </c>
      <c r="D28" s="5" t="s">
        <v>21</v>
      </c>
      <c r="E28" s="9" t="s">
        <v>54</v>
      </c>
      <c r="F28" s="5" t="s">
        <v>15</v>
      </c>
      <c r="G28" s="12" t="s">
        <v>71</v>
      </c>
    </row>
    <row r="29" spans="1:8">
      <c r="A29" s="8" t="s">
        <v>23</v>
      </c>
      <c r="B29" t="s">
        <v>29</v>
      </c>
      <c r="C29">
        <v>1</v>
      </c>
      <c r="D29" s="5" t="s">
        <v>30</v>
      </c>
      <c r="E29" t="s">
        <v>26</v>
      </c>
      <c r="F29" s="5" t="s">
        <v>83</v>
      </c>
      <c r="G29" s="12" t="s">
        <v>71</v>
      </c>
      <c r="H29" s="5"/>
    </row>
  </sheetData>
  <autoFilter ref="A1:H28" xr:uid="{BEC39F7C-C247-1D46-BC00-438E18CD0E8B}">
    <sortState xmlns:xlrd2="http://schemas.microsoft.com/office/spreadsheetml/2017/richdata2" ref="A2:H29">
      <sortCondition descending="1" ref="G1:G29"/>
    </sortState>
  </autoFilter>
  <hyperlinks>
    <hyperlink ref="E23" r:id="rId1" xr:uid="{B73BDFC4-8CEA-FB4D-B594-8989D89763D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stand</vt:lpstr>
      <vt:lpstr>Controller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Folinus</dc:creator>
  <cp:lastModifiedBy>Charlotte Folinus</cp:lastModifiedBy>
  <dcterms:created xsi:type="dcterms:W3CDTF">2024-06-24T14:41:42Z</dcterms:created>
  <dcterms:modified xsi:type="dcterms:W3CDTF">2025-11-18T13:55:30Z</dcterms:modified>
</cp:coreProperties>
</file>