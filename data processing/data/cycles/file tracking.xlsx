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defaultThemeVersion="202300"/>
  <mc:AlternateContent xmlns:mc="http://schemas.openxmlformats.org/markup-compatibility/2006">
    <mc:Choice Requires="x15">
      <x15ac:absPath xmlns:x15ac="http://schemas.microsoft.com/office/spreadsheetml/2010/11/ac" url="/Users/cfolinus/Documents/MIT/CMF FIDL/07 Control/soft-actuator-controller/data processing/data/cycles/"/>
    </mc:Choice>
  </mc:AlternateContent>
  <xr:revisionPtr revIDLastSave="0" documentId="13_ncr:1_{A00C23F4-3022-954D-99A7-E71FC5B0129C}" xr6:coauthVersionLast="47" xr6:coauthVersionMax="47" xr10:uidLastSave="{00000000-0000-0000-0000-000000000000}"/>
  <bookViews>
    <workbookView xWindow="0" yWindow="760" windowWidth="24900" windowHeight="20640" activeTab="1" xr2:uid="{701280C3-9FED-6B42-B428-FC9DB4595006}"/>
  </bookViews>
  <sheets>
    <sheet name="Trial results" sheetId="2" r:id="rId1"/>
    <sheet name="Copy from fabrication tracking" sheetId="3" r:id="rId2"/>
    <sheet name="File log" sheetId="1" r:id="rId3"/>
  </sheets>
  <definedNames>
    <definedName name="_xlnm._FilterDatabase" localSheetId="1" hidden="1">'Copy from fabrication tracking'!$B$2:$U$2</definedName>
    <definedName name="_xlnm._FilterDatabase" localSheetId="2" hidden="1">'File log'!$C$1:$I$1</definedName>
    <definedName name="_xlnm._FilterDatabase" localSheetId="0" hidden="1">'Trial results'!$B$3:$F$3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2" i="2" l="1"/>
  <c r="N12" i="2"/>
  <c r="L12" i="2"/>
  <c r="J12" i="2"/>
  <c r="P9" i="2"/>
  <c r="P8" i="2"/>
  <c r="P7" i="2"/>
  <c r="P5" i="2"/>
  <c r="N9" i="2"/>
  <c r="N8" i="2"/>
  <c r="N7" i="2"/>
  <c r="N5" i="2"/>
  <c r="L9" i="2"/>
  <c r="L8" i="2"/>
  <c r="L7" i="2"/>
  <c r="L6" i="2"/>
  <c r="L5" i="2"/>
  <c r="J9" i="2"/>
  <c r="J8" i="2"/>
  <c r="J7" i="2"/>
  <c r="J6" i="2"/>
  <c r="J5" i="2"/>
  <c r="E26" i="2"/>
  <c r="E25" i="2"/>
  <c r="E24" i="2"/>
  <c r="E22" i="2"/>
  <c r="E21" i="2"/>
  <c r="E20" i="2"/>
  <c r="E18" i="2"/>
  <c r="E17" i="2"/>
  <c r="E16" i="2"/>
  <c r="E15" i="2"/>
  <c r="E14" i="2"/>
  <c r="E13" i="2"/>
  <c r="E12" i="2"/>
  <c r="E10" i="2"/>
  <c r="E9" i="2"/>
  <c r="E8" i="2"/>
  <c r="E7" i="2"/>
  <c r="E6" i="2"/>
  <c r="E5" i="2"/>
  <c r="E4" i="2"/>
  <c r="N11" i="2" l="1"/>
  <c r="J11" i="2"/>
  <c r="J14" i="2" s="1"/>
  <c r="P11" i="2"/>
  <c r="P14" i="2" s="1"/>
  <c r="L11" i="2"/>
  <c r="L14" i="2" s="1"/>
  <c r="N14" i="2"/>
  <c r="N15" i="2" s="1"/>
  <c r="L13" i="2"/>
  <c r="J13" i="2"/>
  <c r="N13" i="2"/>
  <c r="P13" i="2"/>
  <c r="P15" i="2" l="1"/>
  <c r="L15" i="2"/>
  <c r="J15" i="2"/>
</calcChain>
</file>

<file path=xl/sharedStrings.xml><?xml version="1.0" encoding="utf-8"?>
<sst xmlns="http://schemas.openxmlformats.org/spreadsheetml/2006/main" count="571" uniqueCount="297">
  <si>
    <t>file size</t>
  </si>
  <si>
    <t>target [kPa]</t>
  </si>
  <si>
    <t>corresponds to?</t>
  </si>
  <si>
    <t>original names/251023_green</t>
  </si>
  <si>
    <t>fail?</t>
  </si>
  <si>
    <t>yes</t>
  </si>
  <si>
    <t>original names/251023_cycle_10</t>
  </si>
  <si>
    <t>no</t>
  </si>
  <si>
    <t>original names/251023_cycle_9</t>
  </si>
  <si>
    <t>original names/251023_cycle_8</t>
  </si>
  <si>
    <t>original names/251023_cycle_7</t>
  </si>
  <si>
    <t>original names/251023_cycle_6</t>
  </si>
  <si>
    <t>original names/251023_cycle_5</t>
  </si>
  <si>
    <t>original names/251023_cycle_4</t>
  </si>
  <si>
    <t>original names/251023_cycle_3</t>
  </si>
  <si>
    <t>original names/251023_cycle_2</t>
  </si>
  <si>
    <t>original names/251023_cycle_1</t>
  </si>
  <si>
    <t>original names/251023_cycle_0</t>
  </si>
  <si>
    <t>original names/251023_cycle__2</t>
  </si>
  <si>
    <t>original names/251023_cycle__1</t>
  </si>
  <si>
    <t>original names/251023_cycle__0</t>
  </si>
  <si>
    <t>387 bytes</t>
  </si>
  <si>
    <t>618 KB</t>
  </si>
  <si>
    <t>2.4 MB</t>
  </si>
  <si>
    <t>636 KB</t>
  </si>
  <si>
    <t>2 KB</t>
  </si>
  <si>
    <t>8.2 MB</t>
  </si>
  <si>
    <t>1.9 MB</t>
  </si>
  <si>
    <t>3.3 MB</t>
  </si>
  <si>
    <t>738 KB</t>
  </si>
  <si>
    <t>80.4 MB</t>
  </si>
  <si>
    <t>388 bytes</t>
  </si>
  <si>
    <t>-</t>
  </si>
  <si>
    <t>transfer - 251027 1330/251023_cycle_0</t>
  </si>
  <si>
    <t>transfer - 251027 1330/251023_cycle_1</t>
  </si>
  <si>
    <t>transfer - 251027 1330/251023_cycle_2</t>
  </si>
  <si>
    <t>transfer - 251027 1330/251023_cycle_3</t>
  </si>
  <si>
    <t>transfer - 251027 1330/251023_cycle_4</t>
  </si>
  <si>
    <t>transfer - 251027 1330/251023_cycle_5</t>
  </si>
  <si>
    <t>transfer - 251027 1330/251023_cycle_6</t>
  </si>
  <si>
    <t>transfer - 251027 1330/251023_cycle_7</t>
  </si>
  <si>
    <t>transfer - 251027 1330/251023_cycle_8</t>
  </si>
  <si>
    <t>transfer - 251027 1330/251023_cycle_9</t>
  </si>
  <si>
    <t>transfer - 251027 1330/251023_cycle_10</t>
  </si>
  <si>
    <t>transfer - 251027 1330/251023_cycle_11</t>
  </si>
  <si>
    <t>transfer - 251027 1330/251023_cycle_12</t>
  </si>
  <si>
    <t>transfer - 251027 1330/251023_cycle_13</t>
  </si>
  <si>
    <t>transfer - 251027 1330/251023_green</t>
  </si>
  <si>
    <t>94 KB</t>
  </si>
  <si>
    <t>1.5 MB</t>
  </si>
  <si>
    <t>1.8 MB</t>
  </si>
  <si>
    <t>1 KB</t>
  </si>
  <si>
    <t>1.4 MB</t>
  </si>
  <si>
    <t>64 KB</t>
  </si>
  <si>
    <t>2.5 MB</t>
  </si>
  <si>
    <t>483 KB</t>
  </si>
  <si>
    <t>8.1 MB</t>
  </si>
  <si>
    <t>duplicate</t>
  </si>
  <si>
    <t>maybe</t>
  </si>
  <si>
    <t>cycle_specimen14_trial1</t>
  </si>
  <si>
    <t>delete</t>
  </si>
  <si>
    <t>cycle_specimen36_trial2</t>
  </si>
  <si>
    <t>cycle_specimen36_trial1</t>
  </si>
  <si>
    <t>cycle_specimen20_trial1</t>
  </si>
  <si>
    <t>cycle_specimen40_trial1</t>
  </si>
  <si>
    <t>cycle_specimen40_trial2</t>
  </si>
  <si>
    <t>cycle_specimen41_trial1</t>
  </si>
  <si>
    <t>cycle_specimen37_trial2</t>
  </si>
  <si>
    <t>cycle_specimen37_trial1</t>
  </si>
  <si>
    <t>cycle_specimen37_trial0</t>
  </si>
  <si>
    <t>cycle_specimen00_trial1</t>
  </si>
  <si>
    <t>cycle_specimen12_trial1</t>
  </si>
  <si>
    <t>cycle_specimen12_trial2</t>
  </si>
  <si>
    <t>cycle_specimen12_trial3</t>
  </si>
  <si>
    <t>cycle_specimen12_trial4</t>
  </si>
  <si>
    <t>cycle_specimen12_trial5</t>
  </si>
  <si>
    <t>cycle_specimen12_trial6</t>
  </si>
  <si>
    <t>cycle_specimen12_trial7</t>
  </si>
  <si>
    <t>data collection #</t>
  </si>
  <si>
    <t>original filepath</t>
  </si>
  <si>
    <t>updated filename</t>
  </si>
  <si>
    <t>specimen type</t>
  </si>
  <si>
    <t>bare</t>
  </si>
  <si>
    <t>harness</t>
  </si>
  <si>
    <t>green</t>
  </si>
  <si>
    <t>red</t>
  </si>
  <si>
    <t>cycle_specimen22_trial1</t>
  </si>
  <si>
    <t>cycle_specimen22_trial4</t>
  </si>
  <si>
    <t>cycle_specimen22_trial5</t>
  </si>
  <si>
    <t>cycle_specimen22_trial2</t>
  </si>
  <si>
    <t>cycle_specimen22_trial3</t>
  </si>
  <si>
    <t>Actuator info</t>
  </si>
  <si>
    <t>Test info</t>
  </si>
  <si>
    <t>High-level results</t>
  </si>
  <si>
    <t>ID</t>
  </si>
  <si>
    <t>Type</t>
  </si>
  <si>
    <t>Harness</t>
  </si>
  <si>
    <t>Bare</t>
  </si>
  <si>
    <t>Green</t>
  </si>
  <si>
    <t>Red</t>
  </si>
  <si>
    <t>cycle_specimen39_trial1</t>
  </si>
  <si>
    <t>cycle_specimen47_trial1</t>
  </si>
  <si>
    <t>Filenames</t>
  </si>
  <si>
    <t>cycle_specimen10_trial1
cycle_specimen10_trial2
cycle_specimen10_trial3</t>
  </si>
  <si>
    <t>cycle_specimen12_trial1
cycle_specimen12_trial2</t>
  </si>
  <si>
    <t>cycle_specimen14_trial1
cycle_specimen14_trial2</t>
  </si>
  <si>
    <t>cycle_specimen16_trial1
cycle_specimen16_trial2</t>
  </si>
  <si>
    <t>cycle_specimen22_trial1
cycle_specimen22_trial2
cycle_specimen22_trial3
cycle_specimen22_trial4
cycle_specimen22_trial5</t>
  </si>
  <si>
    <t>cycle_specimen33_trial1
cycle_specimen33_trial2</t>
  </si>
  <si>
    <t>cycle_specimen36_trial1
cycle_specimen36_trial2</t>
  </si>
  <si>
    <t>cycle_specimen37_trial0
cycle_specimen37_trial1
cycle_specimen37_trial2</t>
  </si>
  <si>
    <t>cycle_specimen38_trial1
cycle_specimen38_trial2</t>
  </si>
  <si>
    <t>cycle_specimen40_trial1
cycle_specimen40_trial2</t>
  </si>
  <si>
    <t>cycle_specimen45_trial1
cycle_specimen45_trial2</t>
  </si>
  <si>
    <t>cycle_specimen46_trial1
cycle_specimen46_trial2</t>
  </si>
  <si>
    <t>cycle_specimen24_trial1
cycle_specimen24_trial2
cycle_specimen24_trial3</t>
  </si>
  <si>
    <t>cycle_specimen52_trial1</t>
  </si>
  <si>
    <t>cycle_specimen53_trial1</t>
  </si>
  <si>
    <t>trial 1 is weird</t>
  </si>
  <si>
    <t>trial 2 is weird</t>
  </si>
  <si>
    <t>Omit?</t>
  </si>
  <si>
    <t>BARE</t>
  </si>
  <si>
    <t>LACED</t>
  </si>
  <si>
    <t>TACKED</t>
  </si>
  <si>
    <t>MEAN</t>
  </si>
  <si>
    <t>STDEV</t>
  </si>
  <si>
    <t>Silpoxy failed almost immediately</t>
  </si>
  <si>
    <t>Silpoxy failed almost immediately, and I ran test until I figured we had run enough cycles</t>
  </si>
  <si>
    <t>PINCHED</t>
  </si>
  <si>
    <t>TVALUE</t>
  </si>
  <si>
    <t>UNCERT</t>
  </si>
  <si>
    <t># cycles (approx)</t>
  </si>
  <si>
    <t>TRIAL-BY-TRIAL RESULTS</t>
  </si>
  <si>
    <t>OVERALL RESULTS</t>
  </si>
  <si>
    <t>ACTUATOR ID</t>
  </si>
  <si>
    <t>SUCCESSFUL CYCLES</t>
  </si>
  <si>
    <t>NUMBER OF SPECIMENS</t>
  </si>
  <si>
    <t>Notes</t>
  </si>
  <si>
    <t>Need to check out these files</t>
  </si>
  <si>
    <t>Laced</t>
  </si>
  <si>
    <t>Cycles at 30% decrease</t>
  </si>
  <si>
    <t>25/10/27 21:30</t>
  </si>
  <si>
    <t>251023_cycle_23</t>
  </si>
  <si>
    <t>no - true burst on next cycle</t>
  </si>
  <si>
    <t>Crack at bellow valley between R8, R9 along distal edge of fabric. Smaller cracks visible along other bellow valleys on distal fabric edges (a few very small cracks on proximal fabric edges)</t>
  </si>
  <si>
    <t>675 (approx)</t>
  </si>
  <si>
    <t>25/10/27 08:15</t>
  </si>
  <si>
    <t>251023_cycle_5</t>
  </si>
  <si>
    <t>Resumed test after 251023_cycle_8 failed, no visible issues</t>
  </si>
  <si>
    <t>25/10/27 09:50</t>
  </si>
  <si>
    <t>251023_cycle_9</t>
  </si>
  <si>
    <t>25/10/27 09:20</t>
  </si>
  <si>
    <t>251023_cycle_8</t>
  </si>
  <si>
    <t>no inflation after last successful cycle</t>
  </si>
  <si>
    <t>Leak after about 45 cycles</t>
  </si>
  <si>
    <t>25/10/27 14:00</t>
  </si>
  <si>
    <t>251023_cycle_17</t>
  </si>
  <si>
    <t>yes - steady decay in sustained load</t>
  </si>
  <si>
    <t>25/10/28 08:20</t>
  </si>
  <si>
    <t>251023_cycle_27</t>
  </si>
  <si>
    <t>cycle_specimen38_trial2</t>
  </si>
  <si>
    <t>25/10/28 07:30</t>
  </si>
  <si>
    <t>251023_cycle_26</t>
  </si>
  <si>
    <t>cycle_specimen38_trial1</t>
  </si>
  <si>
    <t>251023_cycle_51</t>
  </si>
  <si>
    <t>cycle_specimen33_trial3</t>
  </si>
  <si>
    <t>25/10/29 16:00</t>
  </si>
  <si>
    <t>251023_cycle_50</t>
  </si>
  <si>
    <t>cycle_specimen33_trial2</t>
  </si>
  <si>
    <t>251023_cycle_49</t>
  </si>
  <si>
    <t>cycle_specimen33_trial1</t>
  </si>
  <si>
    <t>251023_cycle_48</t>
  </si>
  <si>
    <t>cycle_specimen42_trial3</t>
  </si>
  <si>
    <t>251023_cycle_47</t>
  </si>
  <si>
    <t>cycle_specimen42_trial2</t>
  </si>
  <si>
    <t>251023_cycle_46</t>
  </si>
  <si>
    <t>something happens around cycle 2000</t>
  </si>
  <si>
    <t>cycle_specimen42_trial1</t>
  </si>
  <si>
    <t>?</t>
  </si>
  <si>
    <t>251023_cycle_30</t>
  </si>
  <si>
    <t>cycle_specimen30_trial1</t>
  </si>
  <si>
    <t>251023_cycle_39</t>
  </si>
  <si>
    <t>cycle_specimen26_trial9</t>
  </si>
  <si>
    <t>251023_cycle_38</t>
  </si>
  <si>
    <t>cycle_specimen26_trial8</t>
  </si>
  <si>
    <t>251023_cycle_37</t>
  </si>
  <si>
    <t>cycle_specimen26_trial7</t>
  </si>
  <si>
    <t>251023_cycle_36</t>
  </si>
  <si>
    <t>check cycle ~2750</t>
  </si>
  <si>
    <t>cycle_specimen26_trial6</t>
  </si>
  <si>
    <t>251023_cycle_35</t>
  </si>
  <si>
    <t>cycle_specimen26_trial5</t>
  </si>
  <si>
    <t>251023_cycle_34</t>
  </si>
  <si>
    <t>cycle_specimen26_trial4</t>
  </si>
  <si>
    <t>251023_cycle_33</t>
  </si>
  <si>
    <t>cycle_specimen26_trial3</t>
  </si>
  <si>
    <t>251023_cycle_32</t>
  </si>
  <si>
    <t>cycle_specimen26_trial2</t>
  </si>
  <si>
    <t>251023_cycle_40</t>
  </si>
  <si>
    <t>cycle_specimen26_trial10</t>
  </si>
  <si>
    <t>251023_cycle_31</t>
  </si>
  <si>
    <t>cycle_specimen26_trial1</t>
  </si>
  <si>
    <t>251023_cycle_7</t>
  </si>
  <si>
    <t>251023_cycle_6</t>
  </si>
  <si>
    <t>251023_cycle_4</t>
  </si>
  <si>
    <t>251023_cycle_3</t>
  </si>
  <si>
    <t>??</t>
  </si>
  <si>
    <t>25/10/24 14:00</t>
  </si>
  <si>
    <t>251023_cycle_2</t>
  </si>
  <si>
    <t>Resumed test after stopping 2510213_cycle_13 at 3000 cycles</t>
  </si>
  <si>
    <t>25/10/27 13:30</t>
  </si>
  <si>
    <t>251023_cycle_14</t>
  </si>
  <si>
    <t>cycle_specimen14_trial2</t>
  </si>
  <si>
    <t>3000 (approx)</t>
  </si>
  <si>
    <t>25/10/27 11:00</t>
  </si>
  <si>
    <t>251023_cycle_13</t>
  </si>
  <si>
    <t>251023_cycle_22</t>
  </si>
  <si>
    <t xml:space="preserve"> </t>
  </si>
  <si>
    <t>cycle_specimen10_trial3</t>
  </si>
  <si>
    <t>251023_cycle_21</t>
  </si>
  <si>
    <t>cycle_specimen10_trial2</t>
  </si>
  <si>
    <t>25/10/27 18:20</t>
  </si>
  <si>
    <t>251023_cycle_20</t>
  </si>
  <si>
    <t>doesn't seem to be deflating successfully</t>
  </si>
  <si>
    <t>cycle_specimen10_trial1</t>
  </si>
  <si>
    <t>25/10/28 08:30</t>
  </si>
  <si>
    <t>251023_cycle_29</t>
  </si>
  <si>
    <t>cycle_specimen46_trial2</t>
  </si>
  <si>
    <t>251023_cycle_28</t>
  </si>
  <si>
    <t>no - steady decay in sustained load</t>
  </si>
  <si>
    <t>cycle_specimen46_trial1</t>
  </si>
  <si>
    <t>25/10/27 22:10</t>
  </si>
  <si>
    <t>251023_cycle_25</t>
  </si>
  <si>
    <t>cycle_specimen45_trial2</t>
  </si>
  <si>
    <t>25/10/27 21:55</t>
  </si>
  <si>
    <t>251023_cycle_24</t>
  </si>
  <si>
    <t>check cycle ~1500</t>
  </si>
  <si>
    <t>cycle_specimen45_trial1</t>
  </si>
  <si>
    <t>Resumed test after 251023_cycle_3 failed - actuator appeared able to sustain more cycles, no issues</t>
  </si>
  <si>
    <t>25/10/27 07:55</t>
  </si>
  <si>
    <t>Multiple cracks at bellow valleys along distal edges of fabric, only on right side</t>
  </si>
  <si>
    <t>Test stopped with screen runout</t>
  </si>
  <si>
    <t>25/10/27 07:30</t>
  </si>
  <si>
    <t>check cycle 800</t>
  </si>
  <si>
    <t>I manually stopped test to modify pressure limit based on conversations with Cat</t>
  </si>
  <si>
    <t>25/10/27 07:20</t>
  </si>
  <si>
    <t>251023_cycle_1</t>
  </si>
  <si>
    <t>25/10/27 10:55</t>
  </si>
  <si>
    <t>251023_cycle_11</t>
  </si>
  <si>
    <t>25/10/27 09:55</t>
  </si>
  <si>
    <t>251023_cycle_10</t>
  </si>
  <si>
    <t>773 (end of test)</t>
  </si>
  <si>
    <t>25/10/27 14:25</t>
  </si>
  <si>
    <t>251023_cycle_19</t>
  </si>
  <si>
    <t>cycle_specimen35_trial2</t>
  </si>
  <si>
    <t>332 screen runout</t>
  </si>
  <si>
    <t>25/10/27 14:05</t>
  </si>
  <si>
    <t>251023_cycle_18</t>
  </si>
  <si>
    <t>check cycle ~110</t>
  </si>
  <si>
    <t>cycle_specimen35_trial1</t>
  </si>
  <si>
    <t>251023_cycle_45</t>
  </si>
  <si>
    <t>251023_cycle_44</t>
  </si>
  <si>
    <t>251023_cycle_43</t>
  </si>
  <si>
    <t>cycle_specimen24_trial3</t>
  </si>
  <si>
    <t>251023_cycle_42</t>
  </si>
  <si>
    <t>cycle_specimen24_trial2</t>
  </si>
  <si>
    <t>251023_cycle_41</t>
  </si>
  <si>
    <t>check cycle ~40</t>
  </si>
  <si>
    <t>cycle_specimen24_trial1</t>
  </si>
  <si>
    <t>520 (approx)</t>
  </si>
  <si>
    <t xml:space="preserve">Leaking almost immediately </t>
  </si>
  <si>
    <t>25/10/27 08:50</t>
  </si>
  <si>
    <t>251023_cycle_16</t>
  </si>
  <si>
    <t>cycle_specimen16_trial2</t>
  </si>
  <si>
    <t>251023_cycle_15</t>
  </si>
  <si>
    <t>check ~cycle 300</t>
  </si>
  <si>
    <t>cycle_specimen16_trial1</t>
  </si>
  <si>
    <t>yes - 50 psi</t>
  </si>
  <si>
    <t>Bottom corner crack, centered on bellows L7/8</t>
  </si>
  <si>
    <t>251023_cycle_0</t>
  </si>
  <si>
    <t>test at 50 psi?</t>
  </si>
  <si>
    <t>25/10/23 16:00</t>
  </si>
  <si>
    <t>251023_cycle__1</t>
  </si>
  <si>
    <t>Overpressure limit [psi]</t>
  </si>
  <si>
    <t>Failure threshold [psi]</t>
  </si>
  <si>
    <t>Cycle time [s]</t>
  </si>
  <si>
    <t>Max pressure [psi]</t>
  </si>
  <si>
    <t>Failure mode</t>
  </si>
  <si>
    <t>Number of cycles [-]</t>
  </si>
  <si>
    <t>Start time (approximate)</t>
  </si>
  <si>
    <t>Original filename</t>
  </si>
  <si>
    <t>notes</t>
  </si>
  <si>
    <t>is final cycle end of test</t>
  </si>
  <si>
    <t>num successful cycles</t>
  </si>
  <si>
    <t>Updated filename</t>
  </si>
  <si>
    <t>Omit data?</t>
  </si>
  <si>
    <t>Controller settings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</si>
</sst>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2"/>
      <color theme="1"/>
      <name val="ArialMT"/>
      <family val="2"/>
    </font>
    <font>
      <sz val="8"/>
      <name val="ArialMT"/>
      <family val="2"/>
    </font>
    <font>
      <b/>
      <sz val="12"/>
      <color theme="1"/>
      <name val="ArialMT"/>
    </font>
    <font>
      <sz val="12"/>
      <color theme="1"/>
      <name val="Aptos Narrow"/>
      <family val="2"/>
      <scheme val="minor"/>
    </font>
    <font>
      <sz val="12"/>
      <color theme="1"/>
      <name val="Arial"/>
      <family val="2"/>
    </font>
    <font>
      <b/>
      <sz val="20"/>
      <color theme="1"/>
      <name val="Arial"/>
      <family val="2"/>
    </font>
    <font>
      <sz val="11"/>
      <color theme="1"/>
      <name val="Arial"/>
      <family val="2"/>
    </font>
    <font>
      <b/>
      <sz val="11"/>
      <color theme="1"/>
      <name val="Arial"/>
      <family val="2"/>
    </font>
    <font>
      <b/>
      <sz val="11"/>
      <color rgb="FF000000"/>
      <name val="Arial"/>
      <family val="2"/>
    </font>
    <font>
      <b/>
      <sz val="14"/>
      <color theme="1"/>
      <name val="Arial"/>
      <family val="2"/>
    </font>
    <font>
      <sz val="14"/>
      <color theme="1"/>
      <name val="Arial"/>
      <family val="2"/>
    </font>
    <font>
      <b/>
      <sz val="14"/>
      <color rgb="FF000000"/>
      <name val="Arial"/>
      <family val="2"/>
    </font>
    <font>
      <sz val="12"/>
      <color rgb="FF000000"/>
      <name val="Arial"/>
      <family val="2"/>
    </font>
    <font>
      <b/>
      <sz val="12"/>
      <color theme="1"/>
      <name val="Arial"/>
      <family val="2"/>
    </font>
  </fonts>
  <fills count="20">
    <fill>
      <patternFill patternType="none"/>
    </fill>
    <fill>
      <patternFill patternType="gray125"/>
    </fill>
    <fill>
      <patternFill patternType="solid">
        <fgColor theme="5" tint="0.39997558519241921"/>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7" tint="0.39997558519241921"/>
        <bgColor indexed="64"/>
      </patternFill>
    </fill>
    <fill>
      <patternFill patternType="solid">
        <fgColor theme="0" tint="-0.249977111117893"/>
        <bgColor indexed="64"/>
      </patternFill>
    </fill>
    <fill>
      <patternFill patternType="solid">
        <fgColor theme="2"/>
        <bgColor indexed="64"/>
      </patternFill>
    </fill>
    <fill>
      <patternFill patternType="solid">
        <fgColor rgb="FFFF85FF"/>
        <bgColor rgb="FF000000"/>
      </patternFill>
    </fill>
    <fill>
      <patternFill patternType="solid">
        <fgColor rgb="FFFFCCEE"/>
        <bgColor rgb="FF000000"/>
      </patternFill>
    </fill>
    <fill>
      <patternFill patternType="solid">
        <fgColor theme="9" tint="0.39997558519241921"/>
        <bgColor rgb="FF000000"/>
      </patternFill>
    </fill>
    <fill>
      <patternFill patternType="solid">
        <fgColor theme="9" tint="0.79998168889431442"/>
        <bgColor rgb="FF000000"/>
      </patternFill>
    </fill>
    <fill>
      <patternFill patternType="solid">
        <fgColor theme="4" tint="0.79998168889431442"/>
        <bgColor indexed="64"/>
      </patternFill>
    </fill>
    <fill>
      <patternFill patternType="solid">
        <fgColor theme="2" tint="-9.9978637043366805E-2"/>
        <bgColor indexed="64"/>
      </patternFill>
    </fill>
    <fill>
      <patternFill patternType="solid">
        <fgColor rgb="FFFFFF00"/>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theme="4" tint="0.39997558519241921"/>
        <bgColor indexed="64"/>
      </patternFill>
    </fill>
  </fills>
  <borders count="19">
    <border>
      <left/>
      <right/>
      <top/>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s>
  <cellStyleXfs count="2">
    <xf numFmtId="0" fontId="0" fillId="0" borderId="0"/>
    <xf numFmtId="0" fontId="3" fillId="0" borderId="0"/>
  </cellStyleXfs>
  <cellXfs count="99">
    <xf numFmtId="0" fontId="0" fillId="0" borderId="0" xfId="0"/>
    <xf numFmtId="0" fontId="0" fillId="0" borderId="0" xfId="0" quotePrefix="1"/>
    <xf numFmtId="0" fontId="2" fillId="0" borderId="0" xfId="0" applyFont="1"/>
    <xf numFmtId="0" fontId="4" fillId="0" borderId="0" xfId="1" applyFont="1"/>
    <xf numFmtId="0" fontId="4" fillId="0" borderId="0" xfId="1" applyFont="1" applyAlignment="1">
      <alignment wrapText="1"/>
    </xf>
    <xf numFmtId="0" fontId="4" fillId="0" borderId="0" xfId="1" quotePrefix="1" applyFont="1"/>
    <xf numFmtId="0" fontId="2" fillId="15" borderId="0" xfId="0" applyFont="1" applyFill="1"/>
    <xf numFmtId="0" fontId="6" fillId="0" borderId="0" xfId="1" applyFont="1"/>
    <xf numFmtId="0" fontId="6" fillId="0" borderId="0" xfId="1" applyFont="1" applyAlignment="1">
      <alignment wrapText="1"/>
    </xf>
    <xf numFmtId="0" fontId="7" fillId="3" borderId="7" xfId="1" applyFont="1" applyFill="1" applyBorder="1" applyAlignment="1">
      <alignment wrapText="1"/>
    </xf>
    <xf numFmtId="0" fontId="7" fillId="3" borderId="4" xfId="1" applyFont="1" applyFill="1" applyBorder="1" applyAlignment="1">
      <alignment wrapText="1"/>
    </xf>
    <xf numFmtId="0" fontId="7" fillId="9" borderId="4" xfId="1" applyFont="1" applyFill="1" applyBorder="1" applyAlignment="1">
      <alignment wrapText="1"/>
    </xf>
    <xf numFmtId="0" fontId="8" fillId="11" borderId="4" xfId="0" applyFont="1" applyFill="1" applyBorder="1" applyAlignment="1">
      <alignment wrapText="1"/>
    </xf>
    <xf numFmtId="0" fontId="8" fillId="13" borderId="4" xfId="0" applyFont="1" applyFill="1" applyBorder="1" applyAlignment="1">
      <alignment wrapText="1"/>
    </xf>
    <xf numFmtId="0" fontId="8" fillId="13" borderId="8" xfId="0" applyFont="1" applyFill="1" applyBorder="1" applyAlignment="1">
      <alignment wrapText="1"/>
    </xf>
    <xf numFmtId="0" fontId="6" fillId="0" borderId="7" xfId="1" applyFont="1" applyBorder="1"/>
    <xf numFmtId="0" fontId="6" fillId="0" borderId="4" xfId="1" applyFont="1" applyBorder="1" applyAlignment="1">
      <alignment wrapText="1"/>
    </xf>
    <xf numFmtId="0" fontId="6" fillId="0" borderId="4" xfId="1" applyFont="1" applyBorder="1"/>
    <xf numFmtId="0" fontId="6" fillId="0" borderId="4" xfId="0" applyFont="1" applyBorder="1"/>
    <xf numFmtId="0" fontId="6" fillId="0" borderId="8" xfId="1" applyFont="1" applyBorder="1" applyAlignment="1">
      <alignment wrapText="1"/>
    </xf>
    <xf numFmtId="0" fontId="6" fillId="0" borderId="9" xfId="1" applyFont="1" applyBorder="1"/>
    <xf numFmtId="0" fontId="6" fillId="0" borderId="10" xfId="1" applyFont="1" applyBorder="1"/>
    <xf numFmtId="0" fontId="6" fillId="0" borderId="11" xfId="1" applyFont="1" applyBorder="1"/>
    <xf numFmtId="0" fontId="7" fillId="0" borderId="1" xfId="1" applyFont="1" applyBorder="1" applyAlignment="1">
      <alignment wrapText="1"/>
    </xf>
    <xf numFmtId="0" fontId="6" fillId="0" borderId="12" xfId="1" applyFont="1" applyBorder="1"/>
    <xf numFmtId="0" fontId="6" fillId="0" borderId="13" xfId="1" applyFont="1" applyBorder="1"/>
    <xf numFmtId="0" fontId="6" fillId="0" borderId="14" xfId="1" applyFont="1" applyBorder="1"/>
    <xf numFmtId="0" fontId="7" fillId="0" borderId="2" xfId="1" applyFont="1" applyBorder="1"/>
    <xf numFmtId="1" fontId="6" fillId="14" borderId="4" xfId="1" applyNumberFormat="1" applyFont="1" applyFill="1" applyBorder="1"/>
    <xf numFmtId="1" fontId="6" fillId="15" borderId="4" xfId="1" applyNumberFormat="1" applyFont="1" applyFill="1" applyBorder="1"/>
    <xf numFmtId="1" fontId="6" fillId="5" borderId="4" xfId="1" applyNumberFormat="1" applyFont="1" applyFill="1" applyBorder="1"/>
    <xf numFmtId="1" fontId="6" fillId="0" borderId="4" xfId="1" applyNumberFormat="1" applyFont="1" applyBorder="1"/>
    <xf numFmtId="1" fontId="6" fillId="0" borderId="8" xfId="1" applyNumberFormat="1" applyFont="1" applyBorder="1"/>
    <xf numFmtId="2" fontId="6" fillId="0" borderId="4" xfId="1" applyNumberFormat="1" applyFont="1" applyBorder="1"/>
    <xf numFmtId="2" fontId="6" fillId="0" borderId="8" xfId="1" applyNumberFormat="1" applyFont="1" applyBorder="1"/>
    <xf numFmtId="0" fontId="7" fillId="0" borderId="3" xfId="1" applyFont="1" applyBorder="1"/>
    <xf numFmtId="1" fontId="6" fillId="14" borderId="10" xfId="1" applyNumberFormat="1" applyFont="1" applyFill="1" applyBorder="1"/>
    <xf numFmtId="1" fontId="6" fillId="15" borderId="10" xfId="1" applyNumberFormat="1" applyFont="1" applyFill="1" applyBorder="1"/>
    <xf numFmtId="1" fontId="6" fillId="5" borderId="10" xfId="1" applyNumberFormat="1" applyFont="1" applyFill="1" applyBorder="1"/>
    <xf numFmtId="1" fontId="6" fillId="6" borderId="11" xfId="1" applyNumberFormat="1" applyFont="1" applyFill="1" applyBorder="1"/>
    <xf numFmtId="0" fontId="9" fillId="0" borderId="0" xfId="1" applyFont="1" applyAlignment="1">
      <alignment horizontal="left" wrapText="1"/>
    </xf>
    <xf numFmtId="0" fontId="10" fillId="0" borderId="0" xfId="1" applyFont="1"/>
    <xf numFmtId="0" fontId="9" fillId="0" borderId="0" xfId="1" applyFont="1" applyAlignment="1">
      <alignment wrapText="1"/>
    </xf>
    <xf numFmtId="0" fontId="9" fillId="2" borderId="4" xfId="1" applyFont="1" applyFill="1" applyBorder="1" applyAlignment="1">
      <alignment horizontal="center"/>
    </xf>
    <xf numFmtId="0" fontId="9" fillId="4" borderId="7" xfId="1" applyFont="1" applyFill="1" applyBorder="1" applyAlignment="1">
      <alignment horizontal="center" wrapText="1"/>
    </xf>
    <xf numFmtId="0" fontId="9" fillId="4" borderId="4" xfId="1" applyFont="1" applyFill="1" applyBorder="1" applyAlignment="1">
      <alignment horizontal="center" wrapText="1"/>
    </xf>
    <xf numFmtId="0" fontId="6" fillId="3" borderId="7" xfId="1" applyFont="1" applyFill="1" applyBorder="1" applyAlignment="1">
      <alignment horizontal="center"/>
    </xf>
    <xf numFmtId="0" fontId="6" fillId="3" borderId="4" xfId="1" applyFont="1" applyFill="1" applyBorder="1" applyAlignment="1">
      <alignment horizontal="center"/>
    </xf>
    <xf numFmtId="0" fontId="6" fillId="3" borderId="4" xfId="1" applyFont="1" applyFill="1" applyBorder="1" applyAlignment="1">
      <alignment horizontal="center" wrapText="1"/>
    </xf>
    <xf numFmtId="0" fontId="6" fillId="3" borderId="4" xfId="0" applyFont="1" applyFill="1" applyBorder="1" applyAlignment="1">
      <alignment horizontal="center" wrapText="1"/>
    </xf>
    <xf numFmtId="0" fontId="6" fillId="3" borderId="4" xfId="0" applyFont="1" applyFill="1" applyBorder="1" applyAlignment="1">
      <alignment horizontal="center"/>
    </xf>
    <xf numFmtId="0" fontId="6" fillId="6" borderId="7" xfId="1" applyFont="1" applyFill="1" applyBorder="1" applyAlignment="1">
      <alignment horizontal="center"/>
    </xf>
    <xf numFmtId="0" fontId="6" fillId="6" borderId="4" xfId="0" applyFont="1" applyFill="1" applyBorder="1" applyAlignment="1">
      <alignment horizontal="center"/>
    </xf>
    <xf numFmtId="0" fontId="6" fillId="6" borderId="4" xfId="0" applyFont="1" applyFill="1" applyBorder="1" applyAlignment="1">
      <alignment horizontal="center" wrapText="1"/>
    </xf>
    <xf numFmtId="0" fontId="6" fillId="6" borderId="4" xfId="1" applyFont="1" applyFill="1" applyBorder="1" applyAlignment="1">
      <alignment horizontal="center" wrapText="1"/>
    </xf>
    <xf numFmtId="0" fontId="6" fillId="6" borderId="4" xfId="1" applyFont="1" applyFill="1" applyBorder="1" applyAlignment="1">
      <alignment horizontal="center"/>
    </xf>
    <xf numFmtId="0" fontId="6" fillId="15" borderId="7" xfId="1" applyFont="1" applyFill="1" applyBorder="1" applyAlignment="1">
      <alignment horizontal="center"/>
    </xf>
    <xf numFmtId="0" fontId="6" fillId="15" borderId="4" xfId="1" applyFont="1" applyFill="1" applyBorder="1" applyAlignment="1">
      <alignment horizontal="center"/>
    </xf>
    <xf numFmtId="0" fontId="6" fillId="15" borderId="4" xfId="0" applyFont="1" applyFill="1" applyBorder="1" applyAlignment="1">
      <alignment horizontal="center" wrapText="1"/>
    </xf>
    <xf numFmtId="0" fontId="6" fillId="15" borderId="4" xfId="1" applyFont="1" applyFill="1" applyBorder="1" applyAlignment="1">
      <alignment horizontal="center" wrapText="1"/>
    </xf>
    <xf numFmtId="0" fontId="6" fillId="5" borderId="7" xfId="1" applyFont="1" applyFill="1" applyBorder="1" applyAlignment="1">
      <alignment horizontal="center"/>
    </xf>
    <xf numFmtId="0" fontId="6" fillId="5" borderId="4" xfId="0" applyFont="1" applyFill="1" applyBorder="1" applyAlignment="1">
      <alignment horizontal="center"/>
    </xf>
    <xf numFmtId="0" fontId="6" fillId="5" borderId="4" xfId="0" applyFont="1" applyFill="1" applyBorder="1" applyAlignment="1">
      <alignment horizontal="center" wrapText="1"/>
    </xf>
    <xf numFmtId="0" fontId="6" fillId="5" borderId="4" xfId="1" applyFont="1" applyFill="1" applyBorder="1" applyAlignment="1">
      <alignment horizontal="center" wrapText="1"/>
    </xf>
    <xf numFmtId="0" fontId="6" fillId="5" borderId="4" xfId="1" applyFont="1" applyFill="1" applyBorder="1" applyAlignment="1">
      <alignment horizontal="center"/>
    </xf>
    <xf numFmtId="0" fontId="6" fillId="5" borderId="9" xfId="1" applyFont="1" applyFill="1" applyBorder="1" applyAlignment="1">
      <alignment horizontal="center"/>
    </xf>
    <xf numFmtId="0" fontId="6" fillId="5" borderId="10" xfId="0" applyFont="1" applyFill="1" applyBorder="1" applyAlignment="1">
      <alignment horizontal="center"/>
    </xf>
    <xf numFmtId="0" fontId="6" fillId="5" borderId="10" xfId="1" applyFont="1" applyFill="1" applyBorder="1" applyAlignment="1">
      <alignment horizontal="center" wrapText="1"/>
    </xf>
    <xf numFmtId="1" fontId="6" fillId="6" borderId="4" xfId="1" applyNumberFormat="1" applyFont="1" applyFill="1" applyBorder="1"/>
    <xf numFmtId="0" fontId="4" fillId="0" borderId="0" xfId="1" applyFont="1" applyAlignment="1">
      <alignment horizontal="center"/>
    </xf>
    <xf numFmtId="0" fontId="12" fillId="0" borderId="0" xfId="1" applyFont="1"/>
    <xf numFmtId="0" fontId="4" fillId="0" borderId="0" xfId="1" quotePrefix="1" applyFont="1" applyAlignment="1">
      <alignment horizontal="center"/>
    </xf>
    <xf numFmtId="0" fontId="4" fillId="6" borderId="0" xfId="1" applyFont="1" applyFill="1"/>
    <xf numFmtId="0" fontId="13" fillId="0" borderId="0" xfId="1" applyFont="1" applyAlignment="1">
      <alignment wrapText="1"/>
    </xf>
    <xf numFmtId="0" fontId="13" fillId="6" borderId="0" xfId="1" applyFont="1" applyFill="1" applyAlignment="1">
      <alignment wrapText="1"/>
    </xf>
    <xf numFmtId="0" fontId="13" fillId="5" borderId="0" xfId="1" applyFont="1" applyFill="1" applyAlignment="1">
      <alignment wrapText="1"/>
    </xf>
    <xf numFmtId="0" fontId="13" fillId="4" borderId="0" xfId="1" applyFont="1" applyFill="1" applyAlignment="1">
      <alignment wrapText="1"/>
    </xf>
    <xf numFmtId="0" fontId="13" fillId="3" borderId="0" xfId="1" applyFont="1" applyFill="1" applyAlignment="1">
      <alignment wrapText="1"/>
    </xf>
    <xf numFmtId="0" fontId="13" fillId="3" borderId="0" xfId="1" applyFont="1" applyFill="1" applyAlignment="1">
      <alignment horizontal="left" wrapText="1"/>
    </xf>
    <xf numFmtId="0" fontId="13" fillId="19" borderId="0" xfId="1" applyFont="1" applyFill="1" applyAlignment="1">
      <alignment horizontal="left"/>
    </xf>
    <xf numFmtId="0" fontId="13" fillId="19" borderId="0" xfId="1" applyFont="1" applyFill="1" applyAlignment="1">
      <alignment horizontal="center"/>
    </xf>
    <xf numFmtId="0" fontId="13" fillId="19" borderId="0" xfId="1" applyFont="1" applyFill="1"/>
    <xf numFmtId="0" fontId="5" fillId="16" borderId="5" xfId="1" applyFont="1" applyFill="1" applyBorder="1" applyAlignment="1">
      <alignment horizontal="center"/>
    </xf>
    <xf numFmtId="0" fontId="5" fillId="16" borderId="6" xfId="1" applyFont="1" applyFill="1" applyBorder="1" applyAlignment="1">
      <alignment horizontal="center"/>
    </xf>
    <xf numFmtId="0" fontId="5" fillId="16" borderId="0" xfId="1" applyFont="1" applyFill="1" applyAlignment="1">
      <alignment horizontal="left"/>
    </xf>
    <xf numFmtId="0" fontId="9" fillId="7" borderId="15" xfId="1" applyFont="1" applyFill="1" applyBorder="1" applyAlignment="1">
      <alignment horizontal="center"/>
    </xf>
    <xf numFmtId="0" fontId="9" fillId="7" borderId="16" xfId="1" applyFont="1" applyFill="1" applyBorder="1" applyAlignment="1">
      <alignment horizontal="center"/>
    </xf>
    <xf numFmtId="0" fontId="9" fillId="8" borderId="17" xfId="1" applyFont="1" applyFill="1" applyBorder="1" applyAlignment="1">
      <alignment horizontal="center"/>
    </xf>
    <xf numFmtId="0" fontId="9" fillId="8" borderId="16" xfId="1" applyFont="1" applyFill="1" applyBorder="1" applyAlignment="1">
      <alignment horizontal="center"/>
    </xf>
    <xf numFmtId="0" fontId="11" fillId="10" borderId="17" xfId="0" applyFont="1" applyFill="1" applyBorder="1" applyAlignment="1">
      <alignment horizontal="center"/>
    </xf>
    <xf numFmtId="0" fontId="11" fillId="10" borderId="16" xfId="0" applyFont="1" applyFill="1" applyBorder="1" applyAlignment="1">
      <alignment horizontal="center"/>
    </xf>
    <xf numFmtId="0" fontId="11" fillId="12" borderId="17" xfId="0" applyFont="1" applyFill="1" applyBorder="1" applyAlignment="1">
      <alignment horizontal="center"/>
    </xf>
    <xf numFmtId="0" fontId="11" fillId="12" borderId="18" xfId="0" applyFont="1" applyFill="1" applyBorder="1" applyAlignment="1">
      <alignment horizontal="center"/>
    </xf>
    <xf numFmtId="0" fontId="9" fillId="2" borderId="4" xfId="1" applyFont="1" applyFill="1" applyBorder="1" applyAlignment="1">
      <alignment horizontal="center" wrapText="1"/>
    </xf>
    <xf numFmtId="0" fontId="9" fillId="2" borderId="7" xfId="1" applyFont="1" applyFill="1" applyBorder="1" applyAlignment="1">
      <alignment horizontal="center"/>
    </xf>
    <xf numFmtId="0" fontId="9" fillId="2" borderId="4" xfId="1" applyFont="1" applyFill="1" applyBorder="1" applyAlignment="1">
      <alignment horizontal="center"/>
    </xf>
    <xf numFmtId="0" fontId="13" fillId="2" borderId="0" xfId="1" applyFont="1" applyFill="1" applyAlignment="1">
      <alignment horizontal="left"/>
    </xf>
    <xf numFmtId="0" fontId="13" fillId="17" borderId="0" xfId="1" applyFont="1" applyFill="1" applyAlignment="1">
      <alignment horizontal="left"/>
    </xf>
    <xf numFmtId="0" fontId="13" fillId="18" borderId="0" xfId="1" applyFont="1" applyFill="1" applyAlignment="1">
      <alignment horizontal="left" wrapText="1"/>
    </xf>
  </cellXfs>
  <cellStyles count="2">
    <cellStyle name="Normal" xfId="0" builtinId="0"/>
    <cellStyle name="Normal 2" xfId="1" xr:uid="{1268B334-EDFA-4447-8EBE-6410F0E496CA}"/>
  </cellStyles>
  <dxfs count="0"/>
  <tableStyles count="0" defaultTableStyle="TableStyleMedium2" defaultPivotStyle="PivotStyleLight16"/>
  <colors>
    <mruColors>
      <color rgb="FFFFCCEE"/>
      <color rgb="FFFF85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37BE5-6519-2746-A5C9-7F427A9727D8}">
  <dimension ref="A1:Q45"/>
  <sheetViews>
    <sheetView zoomScale="75" zoomScaleNormal="120" workbookViewId="0">
      <selection activeCell="I22" sqref="I22"/>
    </sheetView>
  </sheetViews>
  <sheetFormatPr baseColWidth="10" defaultColWidth="9.28515625" defaultRowHeight="16"/>
  <cols>
    <col min="1" max="1" width="9.28515625" style="3"/>
    <col min="2" max="2" width="10.28515625" style="3" bestFit="1" customWidth="1"/>
    <col min="3" max="3" width="7.5703125" style="3" bestFit="1" customWidth="1"/>
    <col min="4" max="4" width="21.140625" style="3" bestFit="1" customWidth="1"/>
    <col min="5" max="5" width="13.5703125" style="4" customWidth="1"/>
    <col min="6" max="6" width="34.85546875" style="4" customWidth="1"/>
    <col min="7" max="7" width="5.7109375" style="4" customWidth="1"/>
    <col min="8" max="8" width="15.5703125" style="3" bestFit="1" customWidth="1"/>
    <col min="9" max="16" width="12.7109375" style="3" customWidth="1"/>
    <col min="17" max="16384" width="9.28515625" style="3"/>
  </cols>
  <sheetData>
    <row r="1" spans="1:17" ht="25">
      <c r="A1" s="82" t="s">
        <v>132</v>
      </c>
      <c r="B1" s="83"/>
      <c r="C1" s="83"/>
      <c r="D1" s="83"/>
      <c r="E1" s="83"/>
      <c r="F1" s="83"/>
      <c r="H1" s="84" t="s">
        <v>133</v>
      </c>
      <c r="I1" s="84"/>
      <c r="J1" s="84"/>
      <c r="K1" s="84"/>
      <c r="L1" s="84"/>
      <c r="M1" s="84"/>
      <c r="N1" s="84"/>
      <c r="O1" s="84"/>
      <c r="P1" s="84"/>
    </row>
    <row r="2" spans="1:17" s="41" customFormat="1" ht="17" customHeight="1" thickBot="1">
      <c r="A2" s="94" t="s">
        <v>91</v>
      </c>
      <c r="B2" s="95"/>
      <c r="C2" s="95"/>
      <c r="D2" s="43" t="s">
        <v>92</v>
      </c>
      <c r="E2" s="93" t="s">
        <v>93</v>
      </c>
      <c r="F2" s="93"/>
      <c r="G2" s="40"/>
    </row>
    <row r="3" spans="1:17" s="42" customFormat="1" ht="60" customHeight="1">
      <c r="A3" s="44" t="s">
        <v>120</v>
      </c>
      <c r="B3" s="45" t="s">
        <v>94</v>
      </c>
      <c r="C3" s="45" t="s">
        <v>95</v>
      </c>
      <c r="D3" s="45" t="s">
        <v>102</v>
      </c>
      <c r="E3" s="45" t="s">
        <v>140</v>
      </c>
      <c r="F3" s="45" t="s">
        <v>137</v>
      </c>
      <c r="H3" s="41"/>
      <c r="I3" s="85" t="s">
        <v>121</v>
      </c>
      <c r="J3" s="86"/>
      <c r="K3" s="87" t="s">
        <v>122</v>
      </c>
      <c r="L3" s="88"/>
      <c r="M3" s="89" t="s">
        <v>128</v>
      </c>
      <c r="N3" s="90"/>
      <c r="O3" s="91" t="s">
        <v>123</v>
      </c>
      <c r="P3" s="92"/>
    </row>
    <row r="4" spans="1:17" ht="31" customHeight="1">
      <c r="A4" s="46" t="s">
        <v>5</v>
      </c>
      <c r="B4" s="47">
        <v>12</v>
      </c>
      <c r="C4" s="47" t="s">
        <v>97</v>
      </c>
      <c r="D4" s="48" t="s">
        <v>104</v>
      </c>
      <c r="E4" s="48">
        <f>700 + 248</f>
        <v>948</v>
      </c>
      <c r="F4" s="48"/>
      <c r="G4" s="8"/>
      <c r="H4" s="7"/>
      <c r="I4" s="9" t="s">
        <v>134</v>
      </c>
      <c r="J4" s="10" t="s">
        <v>135</v>
      </c>
      <c r="K4" s="11" t="s">
        <v>134</v>
      </c>
      <c r="L4" s="11" t="s">
        <v>135</v>
      </c>
      <c r="M4" s="12" t="s">
        <v>134</v>
      </c>
      <c r="N4" s="12" t="s">
        <v>135</v>
      </c>
      <c r="O4" s="13" t="s">
        <v>134</v>
      </c>
      <c r="P4" s="14" t="s">
        <v>135</v>
      </c>
      <c r="Q4" s="7"/>
    </row>
    <row r="5" spans="1:17" ht="31" customHeight="1">
      <c r="A5" s="46"/>
      <c r="B5" s="47">
        <v>16</v>
      </c>
      <c r="C5" s="47" t="s">
        <v>97</v>
      </c>
      <c r="D5" s="49" t="s">
        <v>106</v>
      </c>
      <c r="E5" s="48">
        <f>176 + 46</f>
        <v>222</v>
      </c>
      <c r="F5" s="48"/>
      <c r="G5" s="8"/>
      <c r="H5" s="7"/>
      <c r="I5" s="15">
        <v>16</v>
      </c>
      <c r="J5" s="16">
        <f>176 + 46</f>
        <v>222</v>
      </c>
      <c r="K5" s="17">
        <v>10</v>
      </c>
      <c r="L5" s="16">
        <f>1671 + 986</f>
        <v>2657</v>
      </c>
      <c r="M5" s="18">
        <v>38</v>
      </c>
      <c r="N5" s="16">
        <f>1100 + 37</f>
        <v>1137</v>
      </c>
      <c r="O5" s="18">
        <v>35</v>
      </c>
      <c r="P5" s="19">
        <f xml:space="preserve"> 16 + 475</f>
        <v>491</v>
      </c>
      <c r="Q5" s="7"/>
    </row>
    <row r="6" spans="1:17" ht="31" customHeight="1">
      <c r="A6" s="46"/>
      <c r="B6" s="47">
        <v>20</v>
      </c>
      <c r="C6" s="47" t="s">
        <v>97</v>
      </c>
      <c r="D6" s="50" t="s">
        <v>63</v>
      </c>
      <c r="E6" s="48">
        <f>520</f>
        <v>520</v>
      </c>
      <c r="F6" s="47"/>
      <c r="G6" s="7"/>
      <c r="H6" s="7"/>
      <c r="I6" s="15">
        <v>20</v>
      </c>
      <c r="J6" s="16">
        <f>520</f>
        <v>520</v>
      </c>
      <c r="K6" s="17">
        <v>14</v>
      </c>
      <c r="L6" s="16">
        <f>3000 + 95</f>
        <v>3095</v>
      </c>
      <c r="M6" s="17">
        <v>39</v>
      </c>
      <c r="N6" s="16">
        <v>151</v>
      </c>
      <c r="O6" s="17">
        <v>36</v>
      </c>
      <c r="P6" s="19">
        <v>877</v>
      </c>
      <c r="Q6" s="7"/>
    </row>
    <row r="7" spans="1:17" ht="31" customHeight="1">
      <c r="A7" s="46"/>
      <c r="B7" s="47">
        <v>24</v>
      </c>
      <c r="C7" s="47" t="s">
        <v>97</v>
      </c>
      <c r="D7" s="49" t="s">
        <v>115</v>
      </c>
      <c r="E7" s="48">
        <f>11 + 98 + 66</f>
        <v>175</v>
      </c>
      <c r="F7" s="47"/>
      <c r="G7" s="7"/>
      <c r="H7" s="7"/>
      <c r="I7" s="15">
        <v>24</v>
      </c>
      <c r="J7" s="16">
        <f>11 + 98 + 66</f>
        <v>175</v>
      </c>
      <c r="K7" s="17">
        <v>22</v>
      </c>
      <c r="L7" s="16">
        <f>716 + 2688 + 245 + 917</f>
        <v>4566</v>
      </c>
      <c r="M7" s="17">
        <v>40</v>
      </c>
      <c r="N7" s="16">
        <f>570 + 22</f>
        <v>592</v>
      </c>
      <c r="O7" s="17">
        <v>37</v>
      </c>
      <c r="P7" s="19">
        <f>574 + 229</f>
        <v>803</v>
      </c>
      <c r="Q7" s="7"/>
    </row>
    <row r="8" spans="1:17" ht="31" customHeight="1">
      <c r="A8" s="46"/>
      <c r="B8" s="47">
        <v>52</v>
      </c>
      <c r="C8" s="47" t="s">
        <v>97</v>
      </c>
      <c r="D8" s="50" t="s">
        <v>116</v>
      </c>
      <c r="E8" s="48">
        <f xml:space="preserve"> 129</f>
        <v>129</v>
      </c>
      <c r="F8" s="47"/>
      <c r="G8" s="7"/>
      <c r="H8" s="7"/>
      <c r="I8" s="15">
        <v>52</v>
      </c>
      <c r="J8" s="16">
        <f xml:space="preserve"> 129</f>
        <v>129</v>
      </c>
      <c r="K8" s="17">
        <v>33</v>
      </c>
      <c r="L8" s="16">
        <f>3068 + 2550</f>
        <v>5618</v>
      </c>
      <c r="M8" s="18">
        <v>41</v>
      </c>
      <c r="N8" s="16">
        <f xml:space="preserve"> 674</f>
        <v>674</v>
      </c>
      <c r="O8" s="18">
        <v>45</v>
      </c>
      <c r="P8" s="19">
        <f>303 + 224</f>
        <v>527</v>
      </c>
      <c r="Q8" s="7"/>
    </row>
    <row r="9" spans="1:17" ht="31" customHeight="1">
      <c r="A9" s="46"/>
      <c r="B9" s="47">
        <v>53</v>
      </c>
      <c r="C9" s="47" t="s">
        <v>97</v>
      </c>
      <c r="D9" s="50" t="s">
        <v>117</v>
      </c>
      <c r="E9" s="48">
        <f xml:space="preserve"> 118</f>
        <v>118</v>
      </c>
      <c r="F9" s="47"/>
      <c r="G9" s="7"/>
      <c r="H9" s="7"/>
      <c r="I9" s="15">
        <v>53</v>
      </c>
      <c r="J9" s="16">
        <f xml:space="preserve"> 118</f>
        <v>118</v>
      </c>
      <c r="K9" s="17">
        <v>42</v>
      </c>
      <c r="L9" s="16">
        <f>3808 + 527</f>
        <v>4335</v>
      </c>
      <c r="M9" s="18">
        <v>47</v>
      </c>
      <c r="N9" s="16">
        <f>518</f>
        <v>518</v>
      </c>
      <c r="O9" s="18">
        <v>46</v>
      </c>
      <c r="P9" s="19">
        <f>351</f>
        <v>351</v>
      </c>
      <c r="Q9" s="7"/>
    </row>
    <row r="10" spans="1:17" ht="31" customHeight="1" thickBot="1">
      <c r="A10" s="51"/>
      <c r="B10" s="52">
        <v>35</v>
      </c>
      <c r="C10" s="52" t="s">
        <v>98</v>
      </c>
      <c r="D10" s="53" t="s">
        <v>108</v>
      </c>
      <c r="E10" s="54">
        <f xml:space="preserve"> 16 + 475</f>
        <v>491</v>
      </c>
      <c r="F10" s="54" t="s">
        <v>138</v>
      </c>
      <c r="G10" s="8"/>
      <c r="H10" s="7"/>
      <c r="I10" s="20"/>
      <c r="J10" s="21"/>
      <c r="K10" s="21"/>
      <c r="L10" s="21"/>
      <c r="M10" s="21"/>
      <c r="N10" s="21"/>
      <c r="O10" s="21"/>
      <c r="P10" s="22"/>
      <c r="Q10" s="7"/>
    </row>
    <row r="11" spans="1:17" ht="31" customHeight="1">
      <c r="A11" s="51"/>
      <c r="B11" s="55">
        <v>36</v>
      </c>
      <c r="C11" s="55" t="s">
        <v>98</v>
      </c>
      <c r="D11" s="54" t="s">
        <v>109</v>
      </c>
      <c r="E11" s="54">
        <v>877</v>
      </c>
      <c r="F11" s="54"/>
      <c r="G11" s="8"/>
      <c r="H11" s="23" t="s">
        <v>136</v>
      </c>
      <c r="I11" s="24"/>
      <c r="J11" s="25">
        <f>COUNT(J5:J10)</f>
        <v>5</v>
      </c>
      <c r="K11" s="25"/>
      <c r="L11" s="25">
        <f>COUNT(L5:L10)</f>
        <v>5</v>
      </c>
      <c r="M11" s="25"/>
      <c r="N11" s="25">
        <f>COUNT(N5:N10)</f>
        <v>5</v>
      </c>
      <c r="O11" s="25"/>
      <c r="P11" s="26">
        <f>COUNT(P5:P10)</f>
        <v>5</v>
      </c>
      <c r="Q11" s="7"/>
    </row>
    <row r="12" spans="1:17" ht="31" customHeight="1">
      <c r="A12" s="51"/>
      <c r="B12" s="55">
        <v>37</v>
      </c>
      <c r="C12" s="55" t="s">
        <v>98</v>
      </c>
      <c r="D12" s="54" t="s">
        <v>110</v>
      </c>
      <c r="E12" s="54">
        <f>574 + 229</f>
        <v>803</v>
      </c>
      <c r="F12" s="54"/>
      <c r="G12" s="8"/>
      <c r="H12" s="27" t="s">
        <v>124</v>
      </c>
      <c r="I12" s="15"/>
      <c r="J12" s="28">
        <f>AVERAGE(J5:J10)</f>
        <v>232.8</v>
      </c>
      <c r="K12" s="17"/>
      <c r="L12" s="29">
        <f>AVERAGE(L5:L10)</f>
        <v>4054.2</v>
      </c>
      <c r="M12" s="17"/>
      <c r="N12" s="30">
        <f>AVERAGE(N5:N10)</f>
        <v>614.4</v>
      </c>
      <c r="O12" s="17"/>
      <c r="P12" s="68">
        <f>AVERAGE(P5:P10)</f>
        <v>609.79999999999995</v>
      </c>
      <c r="Q12" s="7"/>
    </row>
    <row r="13" spans="1:17" ht="31" customHeight="1">
      <c r="A13" s="51"/>
      <c r="B13" s="52">
        <v>45</v>
      </c>
      <c r="C13" s="52" t="s">
        <v>98</v>
      </c>
      <c r="D13" s="53" t="s">
        <v>113</v>
      </c>
      <c r="E13" s="54">
        <f>303 + 224</f>
        <v>527</v>
      </c>
      <c r="F13" s="54"/>
      <c r="G13" s="8"/>
      <c r="H13" s="27" t="s">
        <v>125</v>
      </c>
      <c r="I13" s="15"/>
      <c r="J13" s="31">
        <f>STDEV(J5:J10)</f>
        <v>165.75192306576716</v>
      </c>
      <c r="K13" s="17"/>
      <c r="L13" s="31">
        <f>STDEV(L5:L10)</f>
        <v>1189.3791237448215</v>
      </c>
      <c r="M13" s="17"/>
      <c r="N13" s="31">
        <f>STDEV(N5:N10)</f>
        <v>353.97641164348789</v>
      </c>
      <c r="O13" s="17"/>
      <c r="P13" s="32">
        <f>STDEV(P5:P10)</f>
        <v>221.73678089121799</v>
      </c>
      <c r="Q13" s="7"/>
    </row>
    <row r="14" spans="1:17" ht="31" customHeight="1">
      <c r="A14" s="51"/>
      <c r="B14" s="52">
        <v>46</v>
      </c>
      <c r="C14" s="52" t="s">
        <v>98</v>
      </c>
      <c r="D14" s="53" t="s">
        <v>114</v>
      </c>
      <c r="E14" s="54">
        <f>351</f>
        <v>351</v>
      </c>
      <c r="F14" s="54"/>
      <c r="G14" s="8"/>
      <c r="H14" s="27" t="s">
        <v>129</v>
      </c>
      <c r="I14" s="15"/>
      <c r="J14" s="33">
        <f>TINV(0.05, J11)</f>
        <v>2.570581835636315</v>
      </c>
      <c r="K14" s="17"/>
      <c r="L14" s="33">
        <f>TINV(0.05, L11)</f>
        <v>2.570581835636315</v>
      </c>
      <c r="M14" s="17"/>
      <c r="N14" s="33">
        <f>TINV(0.05, N11)</f>
        <v>2.570581835636315</v>
      </c>
      <c r="O14" s="17"/>
      <c r="P14" s="34">
        <f>TINV(0.05, P11)</f>
        <v>2.570581835636315</v>
      </c>
      <c r="Q14" s="7"/>
    </row>
    <row r="15" spans="1:17" ht="31" customHeight="1" thickBot="1">
      <c r="A15" s="56"/>
      <c r="B15" s="57">
        <v>10</v>
      </c>
      <c r="C15" s="57" t="s">
        <v>139</v>
      </c>
      <c r="D15" s="58" t="s">
        <v>103</v>
      </c>
      <c r="E15" s="59">
        <f>1671 + 986</f>
        <v>2657</v>
      </c>
      <c r="F15" s="59" t="s">
        <v>118</v>
      </c>
      <c r="G15" s="8"/>
      <c r="H15" s="35" t="s">
        <v>130</v>
      </c>
      <c r="I15" s="20"/>
      <c r="J15" s="36">
        <f>J14 * J13 / SQRT(J11)</f>
        <v>190.54826907859024</v>
      </c>
      <c r="K15" s="21"/>
      <c r="L15" s="37">
        <f>L14 * L13 / SQRT(L11)</f>
        <v>1367.3092240254859</v>
      </c>
      <c r="M15" s="21"/>
      <c r="N15" s="38">
        <f>N14 * N13 / SQRT(N11)</f>
        <v>406.93098026111267</v>
      </c>
      <c r="O15" s="21"/>
      <c r="P15" s="39">
        <f>P14 * P13 / SQRT(P11)</f>
        <v>254.90841378121212</v>
      </c>
      <c r="Q15" s="7"/>
    </row>
    <row r="16" spans="1:17" ht="31" customHeight="1">
      <c r="A16" s="56"/>
      <c r="B16" s="57">
        <v>14</v>
      </c>
      <c r="C16" s="57" t="s">
        <v>139</v>
      </c>
      <c r="D16" s="59" t="s">
        <v>105</v>
      </c>
      <c r="E16" s="59">
        <f>3000 + 95</f>
        <v>3095</v>
      </c>
      <c r="F16" s="59"/>
      <c r="G16" s="8"/>
      <c r="H16" s="7"/>
      <c r="I16" s="7"/>
      <c r="J16" s="7"/>
      <c r="K16" s="7"/>
      <c r="L16" s="7"/>
      <c r="M16" s="7"/>
      <c r="N16" s="7"/>
      <c r="O16" s="7"/>
      <c r="P16" s="7"/>
      <c r="Q16" s="7"/>
    </row>
    <row r="17" spans="1:17" ht="31" customHeight="1">
      <c r="A17" s="56"/>
      <c r="B17" s="57">
        <v>22</v>
      </c>
      <c r="C17" s="57" t="s">
        <v>139</v>
      </c>
      <c r="D17" s="58" t="s">
        <v>107</v>
      </c>
      <c r="E17" s="59">
        <f>716 + 2688 + 245 + 917</f>
        <v>4566</v>
      </c>
      <c r="F17" s="59" t="s">
        <v>119</v>
      </c>
      <c r="G17" s="8"/>
      <c r="H17" s="7"/>
      <c r="I17" s="7"/>
      <c r="J17" s="7"/>
      <c r="K17" s="7"/>
      <c r="L17" s="7"/>
      <c r="M17" s="7"/>
      <c r="N17" s="7"/>
      <c r="O17" s="7"/>
      <c r="P17" s="7"/>
      <c r="Q17" s="7"/>
    </row>
    <row r="18" spans="1:17" ht="31" customHeight="1">
      <c r="A18" s="56" t="s">
        <v>5</v>
      </c>
      <c r="B18" s="57">
        <v>26</v>
      </c>
      <c r="C18" s="57" t="s">
        <v>139</v>
      </c>
      <c r="D18" s="58"/>
      <c r="E18" s="59">
        <f>0 + 2283 + 4380 + 1 + 317 + 2035 + 1124 + 1215 + 877 + 255</f>
        <v>12487</v>
      </c>
      <c r="F18" s="59" t="s">
        <v>127</v>
      </c>
      <c r="G18" s="8"/>
      <c r="H18" s="7"/>
      <c r="I18" s="7"/>
      <c r="J18" s="7"/>
      <c r="K18" s="7"/>
      <c r="L18" s="7"/>
      <c r="M18" s="7"/>
      <c r="N18" s="7"/>
      <c r="O18" s="7"/>
      <c r="P18" s="7"/>
      <c r="Q18" s="7"/>
    </row>
    <row r="19" spans="1:17" ht="31" customHeight="1">
      <c r="A19" s="56" t="s">
        <v>5</v>
      </c>
      <c r="B19" s="57">
        <v>30</v>
      </c>
      <c r="C19" s="57" t="s">
        <v>139</v>
      </c>
      <c r="D19" s="58"/>
      <c r="E19" s="59">
        <v>866</v>
      </c>
      <c r="F19" s="59" t="s">
        <v>126</v>
      </c>
      <c r="G19" s="8"/>
      <c r="H19" s="7"/>
      <c r="I19" s="7"/>
      <c r="J19" s="7"/>
      <c r="K19" s="7"/>
      <c r="L19" s="7"/>
      <c r="M19" s="7"/>
      <c r="N19" s="7"/>
      <c r="O19" s="7"/>
      <c r="P19" s="7"/>
      <c r="Q19" s="7"/>
    </row>
    <row r="20" spans="1:17" ht="31" customHeight="1">
      <c r="A20" s="56"/>
      <c r="B20" s="57">
        <v>33</v>
      </c>
      <c r="C20" s="57" t="s">
        <v>139</v>
      </c>
      <c r="D20" s="58"/>
      <c r="E20" s="59">
        <f>3068 + 2550</f>
        <v>5618</v>
      </c>
      <c r="F20" s="59"/>
      <c r="G20" s="8"/>
      <c r="H20" s="7"/>
      <c r="I20" s="7"/>
      <c r="J20" s="7"/>
      <c r="K20" s="7"/>
      <c r="L20" s="7"/>
      <c r="M20" s="7"/>
      <c r="N20" s="7"/>
      <c r="O20" s="7"/>
      <c r="P20" s="7"/>
      <c r="Q20" s="7"/>
    </row>
    <row r="21" spans="1:17" ht="31" customHeight="1">
      <c r="A21" s="56"/>
      <c r="B21" s="57">
        <v>42</v>
      </c>
      <c r="C21" s="57" t="s">
        <v>139</v>
      </c>
      <c r="D21" s="58"/>
      <c r="E21" s="59">
        <f>3808 + 527</f>
        <v>4335</v>
      </c>
      <c r="F21" s="59"/>
      <c r="G21" s="8"/>
      <c r="H21" s="7"/>
      <c r="I21" s="7"/>
      <c r="J21" s="7"/>
      <c r="K21" s="7"/>
      <c r="L21" s="7"/>
      <c r="M21" s="7"/>
      <c r="N21" s="7"/>
      <c r="O21" s="7"/>
      <c r="P21" s="7"/>
      <c r="Q21" s="7"/>
    </row>
    <row r="22" spans="1:17" ht="31" customHeight="1">
      <c r="A22" s="60"/>
      <c r="B22" s="61">
        <v>38</v>
      </c>
      <c r="C22" s="61" t="s">
        <v>99</v>
      </c>
      <c r="D22" s="62" t="s">
        <v>111</v>
      </c>
      <c r="E22" s="63">
        <f>1100 + 37</f>
        <v>1137</v>
      </c>
      <c r="F22" s="63"/>
      <c r="G22" s="8"/>
      <c r="H22" s="7"/>
      <c r="I22" s="7"/>
      <c r="J22" s="7"/>
      <c r="K22" s="7"/>
      <c r="L22" s="7"/>
      <c r="M22" s="7"/>
      <c r="N22" s="7"/>
      <c r="O22" s="7"/>
      <c r="P22" s="7"/>
      <c r="Q22" s="7"/>
    </row>
    <row r="23" spans="1:17" ht="31" customHeight="1">
      <c r="A23" s="60"/>
      <c r="B23" s="64">
        <v>39</v>
      </c>
      <c r="C23" s="64" t="s">
        <v>99</v>
      </c>
      <c r="D23" s="64" t="s">
        <v>100</v>
      </c>
      <c r="E23" s="63">
        <v>151</v>
      </c>
      <c r="F23" s="63"/>
      <c r="G23" s="8"/>
      <c r="H23" s="7"/>
      <c r="I23" s="7"/>
      <c r="J23" s="7"/>
      <c r="K23" s="7"/>
      <c r="L23" s="7"/>
      <c r="M23" s="7"/>
      <c r="N23" s="7"/>
      <c r="O23" s="7"/>
      <c r="P23" s="7"/>
      <c r="Q23" s="7"/>
    </row>
    <row r="24" spans="1:17" ht="31" customHeight="1">
      <c r="A24" s="60"/>
      <c r="B24" s="64">
        <v>40</v>
      </c>
      <c r="C24" s="64" t="s">
        <v>99</v>
      </c>
      <c r="D24" s="63" t="s">
        <v>112</v>
      </c>
      <c r="E24" s="63">
        <f>570 + 22</f>
        <v>592</v>
      </c>
      <c r="F24" s="63"/>
      <c r="G24" s="8"/>
      <c r="H24" s="7"/>
      <c r="I24" s="7"/>
      <c r="J24" s="7"/>
      <c r="K24" s="7"/>
      <c r="L24" s="7"/>
      <c r="M24" s="7"/>
      <c r="N24" s="7"/>
      <c r="O24" s="7"/>
      <c r="P24" s="7"/>
      <c r="Q24" s="7"/>
    </row>
    <row r="25" spans="1:17" ht="31" customHeight="1">
      <c r="A25" s="60"/>
      <c r="B25" s="61">
        <v>41</v>
      </c>
      <c r="C25" s="61" t="s">
        <v>99</v>
      </c>
      <c r="D25" s="61" t="s">
        <v>66</v>
      </c>
      <c r="E25" s="63">
        <f xml:space="preserve"> 674</f>
        <v>674</v>
      </c>
      <c r="F25" s="63"/>
      <c r="G25" s="8"/>
      <c r="H25" s="7"/>
      <c r="I25" s="7"/>
      <c r="J25" s="7"/>
      <c r="K25" s="7"/>
      <c r="L25" s="7"/>
      <c r="M25" s="7"/>
      <c r="N25" s="7"/>
      <c r="O25" s="7"/>
      <c r="P25" s="7"/>
      <c r="Q25" s="7"/>
    </row>
    <row r="26" spans="1:17" ht="31" customHeight="1" thickBot="1">
      <c r="A26" s="65"/>
      <c r="B26" s="66">
        <v>47</v>
      </c>
      <c r="C26" s="66" t="s">
        <v>99</v>
      </c>
      <c r="D26" s="66" t="s">
        <v>101</v>
      </c>
      <c r="E26" s="67">
        <f>518</f>
        <v>518</v>
      </c>
      <c r="F26" s="67"/>
      <c r="G26" s="8"/>
      <c r="H26" s="7"/>
      <c r="I26" s="7"/>
      <c r="J26" s="7"/>
      <c r="K26" s="7"/>
      <c r="L26" s="7"/>
      <c r="M26" s="7"/>
      <c r="N26" s="7"/>
      <c r="O26" s="7"/>
      <c r="P26" s="7"/>
      <c r="Q26" s="7"/>
    </row>
    <row r="27" spans="1:17" ht="30" customHeight="1">
      <c r="A27" s="7"/>
      <c r="B27" s="7"/>
      <c r="C27" s="7"/>
      <c r="D27" s="7"/>
      <c r="E27" s="8"/>
      <c r="F27" s="8"/>
      <c r="G27" s="8"/>
      <c r="H27" s="7"/>
      <c r="I27" s="7"/>
      <c r="J27" s="7"/>
      <c r="K27" s="7"/>
      <c r="L27" s="7"/>
      <c r="M27" s="7"/>
      <c r="N27" s="7"/>
      <c r="O27" s="7"/>
      <c r="P27" s="7"/>
      <c r="Q27" s="7"/>
    </row>
    <row r="28" spans="1:17" ht="30" customHeight="1">
      <c r="A28" s="7"/>
      <c r="B28" s="7"/>
      <c r="C28" s="7"/>
      <c r="D28" s="7"/>
      <c r="E28" s="8"/>
      <c r="F28" s="8"/>
      <c r="G28" s="8"/>
      <c r="H28" s="7"/>
      <c r="I28" s="7"/>
      <c r="J28" s="7"/>
      <c r="K28" s="7"/>
      <c r="L28" s="7"/>
      <c r="M28" s="7"/>
      <c r="N28" s="7"/>
      <c r="O28" s="7"/>
      <c r="P28" s="7"/>
      <c r="Q28" s="7"/>
    </row>
    <row r="29" spans="1:17" ht="30" customHeight="1"/>
    <row r="30" spans="1:17" ht="30" customHeight="1"/>
    <row r="32" spans="1:17">
      <c r="B32" s="5"/>
      <c r="D32" s="4"/>
    </row>
    <row r="43" spans="2:3">
      <c r="B43" s="3">
        <v>26</v>
      </c>
      <c r="C43" s="3" t="s">
        <v>96</v>
      </c>
    </row>
    <row r="44" spans="2:3">
      <c r="B44" s="3">
        <v>24</v>
      </c>
      <c r="C44" s="3" t="s">
        <v>97</v>
      </c>
    </row>
    <row r="45" spans="2:3" ht="30" customHeight="1">
      <c r="B45" s="3">
        <v>30</v>
      </c>
      <c r="C45" s="3" t="s">
        <v>96</v>
      </c>
    </row>
  </sheetData>
  <autoFilter ref="B3:F3" xr:uid="{DFDE9FB8-7F28-F74C-8DE9-272345C626BF}">
    <sortState xmlns:xlrd2="http://schemas.microsoft.com/office/spreadsheetml/2017/richdata2" ref="B4:F19">
      <sortCondition ref="C3:C19"/>
    </sortState>
  </autoFilter>
  <mergeCells count="8">
    <mergeCell ref="A1:F1"/>
    <mergeCell ref="H1:P1"/>
    <mergeCell ref="I3:J3"/>
    <mergeCell ref="K3:L3"/>
    <mergeCell ref="M3:N3"/>
    <mergeCell ref="O3:P3"/>
    <mergeCell ref="E2:F2"/>
    <mergeCell ref="A2:C2"/>
  </mergeCells>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C8993-9B9A-F041-9AF7-A73F1AB2A901}">
  <dimension ref="A1:U58"/>
  <sheetViews>
    <sheetView tabSelected="1" zoomScale="110" workbookViewId="0">
      <selection activeCell="B17" sqref="B17"/>
    </sheetView>
  </sheetViews>
  <sheetFormatPr baseColWidth="10" defaultColWidth="9.28515625" defaultRowHeight="16"/>
  <cols>
    <col min="1" max="1" width="9.28515625" style="3"/>
    <col min="2" max="2" width="10.28515625" style="3" bestFit="1" customWidth="1"/>
    <col min="3" max="3" width="7.5703125" style="3" bestFit="1" customWidth="1"/>
    <col min="4" max="4" width="24.7109375" style="3" customWidth="1"/>
    <col min="5" max="5" width="24.7109375" style="69" customWidth="1"/>
    <col min="6" max="6" width="24.7109375" style="3" customWidth="1"/>
    <col min="7" max="7" width="33.140625" style="3" bestFit="1" customWidth="1"/>
    <col min="8" max="8" width="21.140625" style="3" bestFit="1" customWidth="1"/>
    <col min="9" max="9" width="21.140625" style="3" customWidth="1"/>
    <col min="10" max="10" width="34.85546875" style="4" customWidth="1"/>
    <col min="11" max="11" width="13.5703125" style="4" customWidth="1"/>
    <col min="12" max="12" width="34.85546875" style="4" customWidth="1"/>
    <col min="13" max="16" width="13.5703125" style="3" customWidth="1"/>
    <col min="17" max="16384" width="9.28515625" style="3"/>
  </cols>
  <sheetData>
    <row r="1" spans="1:21" ht="17" customHeight="1">
      <c r="A1" s="81" t="s">
        <v>91</v>
      </c>
      <c r="B1" s="81"/>
      <c r="C1" s="81"/>
      <c r="D1" s="79"/>
      <c r="E1" s="80"/>
      <c r="F1" s="79"/>
      <c r="G1" s="79"/>
      <c r="H1" s="96" t="s">
        <v>92</v>
      </c>
      <c r="I1" s="96"/>
      <c r="J1" s="96"/>
      <c r="K1" s="98" t="s">
        <v>93</v>
      </c>
      <c r="L1" s="98"/>
      <c r="M1" s="97" t="s">
        <v>296</v>
      </c>
      <c r="N1" s="97"/>
      <c r="O1" s="97"/>
      <c r="P1" s="97"/>
    </row>
    <row r="2" spans="1:21" s="73" customFormat="1" ht="35" customHeight="1">
      <c r="A2" s="77" t="s">
        <v>295</v>
      </c>
      <c r="B2" s="77" t="s">
        <v>94</v>
      </c>
      <c r="C2" s="77" t="s">
        <v>95</v>
      </c>
      <c r="D2" s="77" t="s">
        <v>294</v>
      </c>
      <c r="E2" s="78" t="s">
        <v>293</v>
      </c>
      <c r="F2" s="77" t="s">
        <v>292</v>
      </c>
      <c r="G2" s="77" t="s">
        <v>291</v>
      </c>
      <c r="H2" s="76" t="s">
        <v>290</v>
      </c>
      <c r="I2" s="76" t="s">
        <v>289</v>
      </c>
      <c r="J2" s="76" t="s">
        <v>137</v>
      </c>
      <c r="K2" s="75" t="s">
        <v>288</v>
      </c>
      <c r="L2" s="75" t="s">
        <v>287</v>
      </c>
      <c r="M2" s="74" t="s">
        <v>286</v>
      </c>
      <c r="N2" s="74" t="s">
        <v>285</v>
      </c>
      <c r="O2" s="74" t="s">
        <v>284</v>
      </c>
      <c r="P2" s="74" t="s">
        <v>283</v>
      </c>
      <c r="U2" s="3"/>
    </row>
    <row r="3" spans="1:21" ht="15" customHeight="1">
      <c r="A3" s="3" t="s">
        <v>5</v>
      </c>
      <c r="B3" s="5">
        <v>0</v>
      </c>
      <c r="C3" s="3" t="s">
        <v>97</v>
      </c>
      <c r="D3" s="3" t="s">
        <v>70</v>
      </c>
      <c r="E3" s="71" t="s">
        <v>32</v>
      </c>
      <c r="H3" s="4" t="s">
        <v>282</v>
      </c>
      <c r="I3" s="3" t="s">
        <v>281</v>
      </c>
      <c r="L3" s="4" t="s">
        <v>278</v>
      </c>
      <c r="M3" s="3">
        <v>7.2</v>
      </c>
      <c r="N3" s="3">
        <v>3</v>
      </c>
      <c r="O3" s="3">
        <v>3.6</v>
      </c>
      <c r="P3" s="3">
        <v>10</v>
      </c>
    </row>
    <row r="4" spans="1:21" ht="15" customHeight="1">
      <c r="A4" s="3" t="s">
        <v>277</v>
      </c>
      <c r="B4" s="3">
        <v>12</v>
      </c>
      <c r="C4" s="3" t="s">
        <v>97</v>
      </c>
      <c r="D4" s="3" t="s">
        <v>71</v>
      </c>
      <c r="E4" s="69">
        <v>700</v>
      </c>
      <c r="F4" s="3" t="s">
        <v>5</v>
      </c>
      <c r="G4" s="3" t="s">
        <v>280</v>
      </c>
      <c r="H4" s="4" t="s">
        <v>279</v>
      </c>
      <c r="L4" s="4" t="s">
        <v>278</v>
      </c>
      <c r="M4" s="3">
        <v>7.2</v>
      </c>
      <c r="N4" s="3">
        <v>3</v>
      </c>
      <c r="O4" s="3">
        <v>3.6</v>
      </c>
      <c r="P4" s="3">
        <v>10</v>
      </c>
    </row>
    <row r="5" spans="1:21" ht="15" customHeight="1">
      <c r="A5" s="3" t="s">
        <v>277</v>
      </c>
      <c r="B5" s="3">
        <v>12</v>
      </c>
      <c r="C5" s="3" t="s">
        <v>97</v>
      </c>
      <c r="D5" s="3" t="s">
        <v>72</v>
      </c>
      <c r="E5" s="69">
        <v>248</v>
      </c>
      <c r="F5" s="3" t="s">
        <v>7</v>
      </c>
      <c r="G5" s="3" t="s">
        <v>153</v>
      </c>
      <c r="H5" s="4" t="s">
        <v>246</v>
      </c>
    </row>
    <row r="6" spans="1:21" ht="15" customHeight="1">
      <c r="B6" s="3">
        <v>16</v>
      </c>
      <c r="C6" s="3" t="s">
        <v>97</v>
      </c>
      <c r="D6" s="3" t="s">
        <v>276</v>
      </c>
      <c r="E6" s="69">
        <v>176</v>
      </c>
      <c r="F6" s="3" t="s">
        <v>7</v>
      </c>
      <c r="G6" s="3" t="s">
        <v>275</v>
      </c>
      <c r="H6" s="3" t="s">
        <v>274</v>
      </c>
    </row>
    <row r="7" spans="1:21" ht="15" customHeight="1">
      <c r="B7" s="3">
        <v>16</v>
      </c>
      <c r="C7" s="3" t="s">
        <v>97</v>
      </c>
      <c r="D7" s="3" t="s">
        <v>273</v>
      </c>
      <c r="E7" s="69">
        <v>46</v>
      </c>
      <c r="F7" s="3" t="s">
        <v>5</v>
      </c>
      <c r="H7" s="3" t="s">
        <v>272</v>
      </c>
      <c r="K7" s="4">
        <v>46</v>
      </c>
    </row>
    <row r="8" spans="1:21" ht="15" customHeight="1">
      <c r="B8" s="3">
        <v>20</v>
      </c>
      <c r="C8" s="3" t="s">
        <v>97</v>
      </c>
      <c r="D8" s="3" t="s">
        <v>63</v>
      </c>
      <c r="E8" s="69">
        <v>520</v>
      </c>
      <c r="F8" s="3" t="s">
        <v>143</v>
      </c>
      <c r="H8" s="3" t="s">
        <v>202</v>
      </c>
      <c r="I8" s="3" t="s">
        <v>271</v>
      </c>
      <c r="J8" s="4" t="s">
        <v>270</v>
      </c>
      <c r="K8" s="4" t="s">
        <v>269</v>
      </c>
      <c r="L8" s="3"/>
    </row>
    <row r="9" spans="1:21" ht="15" customHeight="1">
      <c r="B9" s="3">
        <v>24</v>
      </c>
      <c r="C9" s="3" t="s">
        <v>97</v>
      </c>
      <c r="D9" s="3" t="s">
        <v>268</v>
      </c>
      <c r="E9" s="69">
        <v>11</v>
      </c>
      <c r="F9" s="3" t="s">
        <v>7</v>
      </c>
      <c r="G9" s="3" t="s">
        <v>267</v>
      </c>
      <c r="H9" s="3" t="s">
        <v>266</v>
      </c>
    </row>
    <row r="10" spans="1:21" ht="15" customHeight="1">
      <c r="B10" s="3">
        <v>24</v>
      </c>
      <c r="C10" s="3" t="s">
        <v>97</v>
      </c>
      <c r="D10" s="3" t="s">
        <v>265</v>
      </c>
      <c r="E10" s="69">
        <v>98</v>
      </c>
      <c r="F10" s="3" t="s">
        <v>7</v>
      </c>
      <c r="G10" s="3" t="s">
        <v>153</v>
      </c>
      <c r="H10" s="3" t="s">
        <v>264</v>
      </c>
    </row>
    <row r="11" spans="1:21" ht="15" customHeight="1">
      <c r="B11" s="3">
        <v>24</v>
      </c>
      <c r="C11" s="3" t="s">
        <v>97</v>
      </c>
      <c r="D11" s="3" t="s">
        <v>263</v>
      </c>
      <c r="E11" s="69">
        <v>66</v>
      </c>
      <c r="F11" s="3" t="s">
        <v>5</v>
      </c>
      <c r="H11" s="3" t="s">
        <v>262</v>
      </c>
    </row>
    <row r="12" spans="1:21" ht="15" customHeight="1">
      <c r="B12" s="3">
        <v>52</v>
      </c>
      <c r="C12" s="3" t="s">
        <v>97</v>
      </c>
      <c r="D12" s="3" t="s">
        <v>116</v>
      </c>
      <c r="E12" s="69">
        <v>129</v>
      </c>
      <c r="F12" s="3" t="s">
        <v>143</v>
      </c>
      <c r="H12" s="3" t="s">
        <v>261</v>
      </c>
    </row>
    <row r="13" spans="1:21" ht="15" customHeight="1">
      <c r="B13" s="3">
        <v>53</v>
      </c>
      <c r="C13" s="3" t="s">
        <v>97</v>
      </c>
      <c r="D13" s="3" t="s">
        <v>117</v>
      </c>
      <c r="E13" s="69">
        <v>118</v>
      </c>
      <c r="F13" s="3" t="s">
        <v>143</v>
      </c>
      <c r="H13" s="3" t="s">
        <v>260</v>
      </c>
    </row>
    <row r="14" spans="1:21" ht="15" customHeight="1">
      <c r="B14" s="3">
        <v>35</v>
      </c>
      <c r="C14" s="3" t="s">
        <v>98</v>
      </c>
      <c r="D14" s="72" t="s">
        <v>259</v>
      </c>
      <c r="E14" s="69">
        <v>16</v>
      </c>
      <c r="F14" s="3" t="s">
        <v>7</v>
      </c>
      <c r="G14" s="3" t="s">
        <v>258</v>
      </c>
      <c r="H14" s="3" t="s">
        <v>257</v>
      </c>
      <c r="I14" s="3" t="s">
        <v>256</v>
      </c>
      <c r="K14" s="4" t="s">
        <v>255</v>
      </c>
    </row>
    <row r="15" spans="1:21" ht="15" customHeight="1">
      <c r="B15" s="3">
        <v>35</v>
      </c>
      <c r="C15" s="3" t="s">
        <v>98</v>
      </c>
      <c r="D15" s="72" t="s">
        <v>254</v>
      </c>
      <c r="E15" s="69">
        <v>475</v>
      </c>
      <c r="F15" s="3" t="s">
        <v>229</v>
      </c>
      <c r="H15" s="3" t="s">
        <v>253</v>
      </c>
      <c r="I15" s="3" t="s">
        <v>252</v>
      </c>
      <c r="K15" s="4" t="s">
        <v>251</v>
      </c>
    </row>
    <row r="16" spans="1:21" ht="15" customHeight="1">
      <c r="B16" s="3">
        <v>36</v>
      </c>
      <c r="C16" s="3" t="s">
        <v>98</v>
      </c>
      <c r="D16" s="3" t="s">
        <v>62</v>
      </c>
      <c r="E16" s="69">
        <v>877</v>
      </c>
      <c r="F16" s="3" t="s">
        <v>229</v>
      </c>
      <c r="H16" s="3" t="s">
        <v>250</v>
      </c>
      <c r="I16" s="3" t="s">
        <v>249</v>
      </c>
    </row>
    <row r="17" spans="1:16" ht="15" customHeight="1">
      <c r="B17" s="3">
        <v>36</v>
      </c>
      <c r="C17" s="3" t="s">
        <v>98</v>
      </c>
      <c r="D17" s="3" t="s">
        <v>61</v>
      </c>
      <c r="E17" s="69">
        <v>0</v>
      </c>
      <c r="H17" s="3" t="s">
        <v>248</v>
      </c>
      <c r="I17" s="3" t="s">
        <v>247</v>
      </c>
    </row>
    <row r="18" spans="1:16" ht="15" customHeight="1">
      <c r="A18" s="3" t="s">
        <v>5</v>
      </c>
      <c r="B18" s="3">
        <v>37</v>
      </c>
      <c r="C18" s="3" t="s">
        <v>98</v>
      </c>
      <c r="D18" s="3" t="s">
        <v>69</v>
      </c>
      <c r="E18" s="71" t="s">
        <v>32</v>
      </c>
      <c r="H18" s="4" t="s">
        <v>246</v>
      </c>
      <c r="I18" s="3" t="s">
        <v>245</v>
      </c>
      <c r="J18" s="4" t="s">
        <v>244</v>
      </c>
      <c r="M18" s="3">
        <v>7.2</v>
      </c>
      <c r="N18" s="3">
        <v>3</v>
      </c>
      <c r="O18" s="3">
        <v>3.6</v>
      </c>
      <c r="P18" s="3">
        <v>15</v>
      </c>
    </row>
    <row r="19" spans="1:16" ht="15" customHeight="1">
      <c r="B19" s="3">
        <v>37</v>
      </c>
      <c r="C19" s="3" t="s">
        <v>98</v>
      </c>
      <c r="D19" s="3" t="s">
        <v>68</v>
      </c>
      <c r="E19" s="69">
        <v>574</v>
      </c>
      <c r="F19" s="3" t="s">
        <v>7</v>
      </c>
      <c r="G19" s="3" t="s">
        <v>243</v>
      </c>
      <c r="H19" s="3" t="s">
        <v>205</v>
      </c>
      <c r="I19" s="3" t="s">
        <v>242</v>
      </c>
      <c r="J19" s="4" t="s">
        <v>241</v>
      </c>
      <c r="L19" s="4" t="s">
        <v>240</v>
      </c>
      <c r="M19" s="3">
        <v>8.6999999999999993</v>
      </c>
      <c r="N19" s="3">
        <v>3</v>
      </c>
      <c r="O19" s="3">
        <v>4.3499999999999996</v>
      </c>
      <c r="P19" s="3">
        <v>17.399999999999999</v>
      </c>
    </row>
    <row r="20" spans="1:16" ht="15" customHeight="1">
      <c r="B20" s="3">
        <v>37</v>
      </c>
      <c r="C20" s="3" t="s">
        <v>98</v>
      </c>
      <c r="D20" s="3" t="s">
        <v>67</v>
      </c>
      <c r="E20" s="69">
        <v>229</v>
      </c>
      <c r="F20" s="3" t="s">
        <v>143</v>
      </c>
      <c r="H20" s="3" t="s">
        <v>204</v>
      </c>
      <c r="I20" s="3" t="s">
        <v>239</v>
      </c>
      <c r="J20" s="4" t="s">
        <v>238</v>
      </c>
      <c r="M20" s="3">
        <v>8.6999999999999993</v>
      </c>
      <c r="N20" s="3">
        <v>3</v>
      </c>
      <c r="O20" s="3">
        <v>4.3499999999999996</v>
      </c>
      <c r="P20" s="3">
        <v>17.399999999999999</v>
      </c>
    </row>
    <row r="21" spans="1:16" ht="15" customHeight="1">
      <c r="B21" s="3">
        <v>45</v>
      </c>
      <c r="C21" s="3" t="s">
        <v>98</v>
      </c>
      <c r="D21" s="3" t="s">
        <v>237</v>
      </c>
      <c r="E21" s="69">
        <v>303</v>
      </c>
      <c r="F21" s="3" t="s">
        <v>7</v>
      </c>
      <c r="G21" s="3" t="s">
        <v>236</v>
      </c>
      <c r="H21" s="3" t="s">
        <v>235</v>
      </c>
      <c r="I21" s="3" t="s">
        <v>234</v>
      </c>
    </row>
    <row r="22" spans="1:16" ht="15" customHeight="1">
      <c r="B22" s="3">
        <v>45</v>
      </c>
      <c r="C22" s="3" t="s">
        <v>98</v>
      </c>
      <c r="D22" s="3" t="s">
        <v>233</v>
      </c>
      <c r="E22" s="69">
        <v>224</v>
      </c>
      <c r="F22" s="3" t="s">
        <v>143</v>
      </c>
      <c r="H22" s="3" t="s">
        <v>232</v>
      </c>
      <c r="I22" s="3" t="s">
        <v>231</v>
      </c>
      <c r="K22" s="4">
        <v>225</v>
      </c>
    </row>
    <row r="23" spans="1:16" ht="15" customHeight="1">
      <c r="B23" s="3">
        <v>46</v>
      </c>
      <c r="C23" s="3" t="s">
        <v>98</v>
      </c>
      <c r="D23" s="3" t="s">
        <v>230</v>
      </c>
      <c r="E23" s="69">
        <v>351</v>
      </c>
      <c r="F23" s="3" t="s">
        <v>229</v>
      </c>
      <c r="H23" s="3" t="s">
        <v>228</v>
      </c>
      <c r="I23" s="3" t="s">
        <v>225</v>
      </c>
    </row>
    <row r="24" spans="1:16" ht="15" customHeight="1">
      <c r="B24" s="3">
        <v>46</v>
      </c>
      <c r="C24" s="3" t="s">
        <v>98</v>
      </c>
      <c r="D24" s="3" t="s">
        <v>227</v>
      </c>
      <c r="E24" s="69">
        <v>0</v>
      </c>
      <c r="H24" s="3" t="s">
        <v>226</v>
      </c>
      <c r="I24" s="3" t="s">
        <v>225</v>
      </c>
    </row>
    <row r="25" spans="1:16" ht="15" customHeight="1">
      <c r="B25" s="3">
        <v>10</v>
      </c>
      <c r="C25" s="3" t="s">
        <v>139</v>
      </c>
      <c r="D25" s="3" t="s">
        <v>224</v>
      </c>
      <c r="E25" s="69" t="s">
        <v>206</v>
      </c>
      <c r="G25" s="3" t="s">
        <v>223</v>
      </c>
      <c r="H25" s="3" t="s">
        <v>222</v>
      </c>
      <c r="I25" s="3" t="s">
        <v>221</v>
      </c>
    </row>
    <row r="26" spans="1:16" ht="15" customHeight="1">
      <c r="B26" s="3">
        <v>10</v>
      </c>
      <c r="C26" s="3" t="s">
        <v>139</v>
      </c>
      <c r="D26" s="3" t="s">
        <v>220</v>
      </c>
      <c r="E26" s="69">
        <v>1671</v>
      </c>
      <c r="F26" s="3" t="s">
        <v>7</v>
      </c>
      <c r="G26" s="3" t="s">
        <v>153</v>
      </c>
      <c r="H26" s="3" t="s">
        <v>219</v>
      </c>
    </row>
    <row r="27" spans="1:16" ht="15" customHeight="1">
      <c r="B27" s="3">
        <v>10</v>
      </c>
      <c r="C27" s="3" t="s">
        <v>139</v>
      </c>
      <c r="D27" s="3" t="s">
        <v>218</v>
      </c>
      <c r="E27" s="69">
        <v>986</v>
      </c>
      <c r="F27" s="3" t="s">
        <v>143</v>
      </c>
      <c r="G27" s="3" t="s">
        <v>217</v>
      </c>
      <c r="H27" s="3" t="s">
        <v>216</v>
      </c>
    </row>
    <row r="28" spans="1:16" ht="15" customHeight="1">
      <c r="B28" s="3">
        <v>14</v>
      </c>
      <c r="C28" s="3" t="s">
        <v>139</v>
      </c>
      <c r="D28" s="3" t="s">
        <v>59</v>
      </c>
      <c r="E28" s="69">
        <v>3000</v>
      </c>
      <c r="F28" s="3" t="s">
        <v>5</v>
      </c>
      <c r="H28" s="3" t="s">
        <v>215</v>
      </c>
      <c r="I28" s="3" t="s">
        <v>214</v>
      </c>
      <c r="K28" s="4" t="s">
        <v>213</v>
      </c>
    </row>
    <row r="29" spans="1:16" ht="15" customHeight="1">
      <c r="B29" s="3">
        <v>14</v>
      </c>
      <c r="C29" s="3" t="s">
        <v>139</v>
      </c>
      <c r="D29" s="3" t="s">
        <v>212</v>
      </c>
      <c r="E29" s="69">
        <v>95</v>
      </c>
      <c r="F29" s="3" t="s">
        <v>143</v>
      </c>
      <c r="H29" s="3" t="s">
        <v>211</v>
      </c>
      <c r="I29" s="3" t="s">
        <v>210</v>
      </c>
      <c r="J29" s="4" t="s">
        <v>209</v>
      </c>
      <c r="K29" s="4">
        <v>99</v>
      </c>
    </row>
    <row r="30" spans="1:16" ht="15" customHeight="1">
      <c r="B30" s="3">
        <v>22</v>
      </c>
      <c r="C30" s="3" t="s">
        <v>139</v>
      </c>
      <c r="D30" s="3" t="s">
        <v>86</v>
      </c>
      <c r="E30" s="69">
        <v>716</v>
      </c>
      <c r="F30" s="3" t="s">
        <v>143</v>
      </c>
      <c r="H30" s="4" t="s">
        <v>208</v>
      </c>
      <c r="I30" s="3" t="s">
        <v>207</v>
      </c>
      <c r="M30" s="3">
        <v>7.2</v>
      </c>
      <c r="N30" s="3">
        <v>3</v>
      </c>
      <c r="O30" s="3">
        <v>3.6</v>
      </c>
      <c r="P30" s="3">
        <v>10</v>
      </c>
    </row>
    <row r="31" spans="1:16" ht="15" customHeight="1">
      <c r="B31" s="3">
        <v>22</v>
      </c>
      <c r="C31" s="3" t="s">
        <v>139</v>
      </c>
      <c r="D31" s="3" t="s">
        <v>89</v>
      </c>
      <c r="E31" s="69" t="s">
        <v>206</v>
      </c>
      <c r="H31" s="4" t="s">
        <v>205</v>
      </c>
    </row>
    <row r="32" spans="1:16" ht="15" customHeight="1">
      <c r="B32" s="3">
        <v>22</v>
      </c>
      <c r="C32" s="3" t="s">
        <v>139</v>
      </c>
      <c r="D32" s="3" t="s">
        <v>90</v>
      </c>
      <c r="E32" s="69">
        <v>2688</v>
      </c>
      <c r="F32" s="3" t="s">
        <v>7</v>
      </c>
      <c r="G32" s="3" t="s">
        <v>153</v>
      </c>
      <c r="H32" s="4" t="s">
        <v>204</v>
      </c>
    </row>
    <row r="33" spans="2:10" ht="15" customHeight="1">
      <c r="B33" s="3">
        <v>22</v>
      </c>
      <c r="C33" s="3" t="s">
        <v>139</v>
      </c>
      <c r="D33" s="3" t="s">
        <v>87</v>
      </c>
      <c r="E33" s="69">
        <v>245</v>
      </c>
      <c r="F33" s="3" t="s">
        <v>5</v>
      </c>
      <c r="H33" s="4" t="s">
        <v>203</v>
      </c>
    </row>
    <row r="34" spans="2:10" ht="15" customHeight="1">
      <c r="B34" s="3">
        <v>22</v>
      </c>
      <c r="C34" s="3" t="s">
        <v>139</v>
      </c>
      <c r="D34" s="3" t="s">
        <v>88</v>
      </c>
      <c r="E34" s="69">
        <v>917</v>
      </c>
      <c r="F34" s="3" t="s">
        <v>5</v>
      </c>
      <c r="H34" s="4" t="s">
        <v>202</v>
      </c>
    </row>
    <row r="35" spans="2:10" ht="15" customHeight="1">
      <c r="B35" s="3">
        <v>26</v>
      </c>
      <c r="C35" s="3" t="s">
        <v>139</v>
      </c>
      <c r="D35" s="3" t="s">
        <v>201</v>
      </c>
      <c r="E35" s="69">
        <v>0</v>
      </c>
      <c r="H35" s="3" t="s">
        <v>200</v>
      </c>
      <c r="J35" s="4" t="s">
        <v>178</v>
      </c>
    </row>
    <row r="36" spans="2:10" ht="15" customHeight="1">
      <c r="B36" s="3">
        <v>26</v>
      </c>
      <c r="C36" s="3" t="s">
        <v>139</v>
      </c>
      <c r="D36" s="3" t="s">
        <v>199</v>
      </c>
      <c r="E36" s="69">
        <v>2283</v>
      </c>
      <c r="F36" s="3" t="s">
        <v>7</v>
      </c>
      <c r="G36" s="3" t="s">
        <v>153</v>
      </c>
      <c r="H36" s="70" t="s">
        <v>198</v>
      </c>
      <c r="J36" s="4" t="s">
        <v>178</v>
      </c>
    </row>
    <row r="37" spans="2:10" ht="15" customHeight="1">
      <c r="B37" s="3">
        <v>26</v>
      </c>
      <c r="C37" s="3" t="s">
        <v>139</v>
      </c>
      <c r="D37" s="3" t="s">
        <v>197</v>
      </c>
      <c r="E37" s="69">
        <v>4380</v>
      </c>
      <c r="F37" s="3" t="s">
        <v>7</v>
      </c>
      <c r="G37" s="3" t="s">
        <v>153</v>
      </c>
      <c r="H37" s="70" t="s">
        <v>196</v>
      </c>
      <c r="J37" s="4" t="s">
        <v>178</v>
      </c>
    </row>
    <row r="38" spans="2:10" ht="15" customHeight="1">
      <c r="B38" s="3">
        <v>26</v>
      </c>
      <c r="C38" s="3" t="s">
        <v>139</v>
      </c>
      <c r="D38" s="3" t="s">
        <v>195</v>
      </c>
      <c r="E38" s="69">
        <v>1</v>
      </c>
      <c r="F38" s="3" t="s">
        <v>5</v>
      </c>
      <c r="H38" s="3" t="s">
        <v>194</v>
      </c>
    </row>
    <row r="39" spans="2:10" ht="15" customHeight="1">
      <c r="B39" s="3">
        <v>26</v>
      </c>
      <c r="C39" s="3" t="s">
        <v>139</v>
      </c>
      <c r="D39" s="3" t="s">
        <v>193</v>
      </c>
      <c r="E39" s="69">
        <v>317</v>
      </c>
      <c r="F39" s="3" t="s">
        <v>7</v>
      </c>
      <c r="G39" s="3" t="s">
        <v>153</v>
      </c>
      <c r="H39" s="70" t="s">
        <v>192</v>
      </c>
    </row>
    <row r="40" spans="2:10" ht="15" customHeight="1">
      <c r="B40" s="3">
        <v>26</v>
      </c>
      <c r="C40" s="3" t="s">
        <v>139</v>
      </c>
      <c r="D40" s="3" t="s">
        <v>191</v>
      </c>
      <c r="E40" s="69">
        <v>2035</v>
      </c>
      <c r="F40" s="3" t="s">
        <v>7</v>
      </c>
      <c r="G40" s="3" t="s">
        <v>153</v>
      </c>
      <c r="H40" s="3" t="s">
        <v>190</v>
      </c>
    </row>
    <row r="41" spans="2:10" ht="15" customHeight="1">
      <c r="B41" s="3">
        <v>26</v>
      </c>
      <c r="C41" s="3" t="s">
        <v>139</v>
      </c>
      <c r="D41" s="3" t="s">
        <v>189</v>
      </c>
      <c r="E41" s="69">
        <v>1124</v>
      </c>
      <c r="F41" s="3" t="s">
        <v>7</v>
      </c>
      <c r="G41" s="3" t="s">
        <v>188</v>
      </c>
      <c r="H41" s="70" t="s">
        <v>187</v>
      </c>
    </row>
    <row r="42" spans="2:10" ht="15" customHeight="1">
      <c r="B42" s="3">
        <v>26</v>
      </c>
      <c r="C42" s="3" t="s">
        <v>139</v>
      </c>
      <c r="D42" s="3" t="s">
        <v>186</v>
      </c>
      <c r="E42" s="69">
        <v>1215</v>
      </c>
      <c r="F42" s="3" t="s">
        <v>7</v>
      </c>
      <c r="G42" s="3" t="s">
        <v>153</v>
      </c>
      <c r="H42" s="3" t="s">
        <v>185</v>
      </c>
    </row>
    <row r="43" spans="2:10" ht="15" customHeight="1">
      <c r="B43" s="3">
        <v>26</v>
      </c>
      <c r="C43" s="3" t="s">
        <v>139</v>
      </c>
      <c r="D43" s="3" t="s">
        <v>184</v>
      </c>
      <c r="E43" s="69">
        <v>877</v>
      </c>
      <c r="F43" s="3" t="s">
        <v>7</v>
      </c>
      <c r="G43" s="3" t="s">
        <v>153</v>
      </c>
      <c r="H43" s="70" t="s">
        <v>183</v>
      </c>
    </row>
    <row r="44" spans="2:10" ht="15" customHeight="1">
      <c r="B44" s="3">
        <v>26</v>
      </c>
      <c r="C44" s="3" t="s">
        <v>139</v>
      </c>
      <c r="D44" s="3" t="s">
        <v>182</v>
      </c>
      <c r="E44" s="69">
        <v>255</v>
      </c>
      <c r="F44" s="3" t="s">
        <v>7</v>
      </c>
      <c r="G44" s="3" t="s">
        <v>153</v>
      </c>
      <c r="H44" s="3" t="s">
        <v>181</v>
      </c>
    </row>
    <row r="45" spans="2:10" ht="15" customHeight="1">
      <c r="B45" s="3">
        <v>30</v>
      </c>
      <c r="C45" s="3" t="s">
        <v>139</v>
      </c>
      <c r="D45" s="3" t="s">
        <v>180</v>
      </c>
      <c r="E45" s="69">
        <v>866</v>
      </c>
      <c r="F45" s="3" t="s">
        <v>7</v>
      </c>
      <c r="G45" s="3" t="s">
        <v>153</v>
      </c>
      <c r="H45" s="70" t="s">
        <v>179</v>
      </c>
      <c r="J45" s="4" t="s">
        <v>178</v>
      </c>
    </row>
    <row r="46" spans="2:10" ht="15" customHeight="1">
      <c r="B46" s="3">
        <v>42</v>
      </c>
      <c r="C46" s="3" t="s">
        <v>139</v>
      </c>
      <c r="D46" s="3" t="s">
        <v>177</v>
      </c>
      <c r="E46" s="69">
        <v>3808</v>
      </c>
      <c r="F46" s="3" t="s">
        <v>5</v>
      </c>
      <c r="G46" s="3" t="s">
        <v>176</v>
      </c>
      <c r="H46" s="3" t="s">
        <v>175</v>
      </c>
    </row>
    <row r="47" spans="2:10" ht="15" customHeight="1">
      <c r="B47" s="3">
        <v>42</v>
      </c>
      <c r="C47" s="3" t="s">
        <v>139</v>
      </c>
      <c r="D47" s="3" t="s">
        <v>174</v>
      </c>
      <c r="E47" s="69">
        <v>527</v>
      </c>
      <c r="F47" s="3" t="s">
        <v>143</v>
      </c>
      <c r="H47" s="3" t="s">
        <v>173</v>
      </c>
    </row>
    <row r="48" spans="2:10" ht="15" customHeight="1">
      <c r="B48" s="3">
        <v>42</v>
      </c>
      <c r="C48" s="3" t="s">
        <v>139</v>
      </c>
      <c r="D48" s="3" t="s">
        <v>172</v>
      </c>
      <c r="E48" s="69">
        <v>0</v>
      </c>
      <c r="H48" s="3" t="s">
        <v>171</v>
      </c>
    </row>
    <row r="49" spans="2:16" ht="15" customHeight="1">
      <c r="B49" s="3">
        <v>33</v>
      </c>
      <c r="C49" s="3" t="s">
        <v>139</v>
      </c>
      <c r="D49" s="3" t="s">
        <v>170</v>
      </c>
      <c r="E49" s="69">
        <v>3068</v>
      </c>
      <c r="F49" s="3" t="s">
        <v>7</v>
      </c>
      <c r="G49" s="3" t="s">
        <v>153</v>
      </c>
      <c r="H49" s="3" t="s">
        <v>169</v>
      </c>
    </row>
    <row r="50" spans="2:16" ht="15" customHeight="1">
      <c r="B50" s="3">
        <v>33</v>
      </c>
      <c r="C50" s="3" t="s">
        <v>139</v>
      </c>
      <c r="D50" s="3" t="s">
        <v>168</v>
      </c>
      <c r="E50" s="69">
        <v>2550</v>
      </c>
      <c r="F50" s="3" t="s">
        <v>143</v>
      </c>
      <c r="H50" s="3" t="s">
        <v>167</v>
      </c>
      <c r="I50" s="3" t="s">
        <v>166</v>
      </c>
    </row>
    <row r="51" spans="2:16" ht="15" customHeight="1">
      <c r="B51" s="3">
        <v>33</v>
      </c>
      <c r="C51" s="3" t="s">
        <v>139</v>
      </c>
      <c r="D51" s="3" t="s">
        <v>165</v>
      </c>
      <c r="E51" s="69">
        <v>0</v>
      </c>
      <c r="H51" s="3" t="s">
        <v>164</v>
      </c>
    </row>
    <row r="52" spans="2:16" ht="15" customHeight="1">
      <c r="B52" s="3">
        <v>38</v>
      </c>
      <c r="C52" s="3" t="s">
        <v>99</v>
      </c>
      <c r="D52" s="3" t="s">
        <v>163</v>
      </c>
      <c r="E52" s="69">
        <v>1100</v>
      </c>
      <c r="F52" s="3" t="s">
        <v>5</v>
      </c>
      <c r="H52" s="3" t="s">
        <v>162</v>
      </c>
      <c r="I52" s="3" t="s">
        <v>161</v>
      </c>
    </row>
    <row r="53" spans="2:16" ht="15" customHeight="1">
      <c r="B53" s="3">
        <v>38</v>
      </c>
      <c r="C53" s="3" t="s">
        <v>99</v>
      </c>
      <c r="D53" s="3" t="s">
        <v>160</v>
      </c>
      <c r="E53" s="69">
        <v>37</v>
      </c>
      <c r="F53" s="3" t="s">
        <v>143</v>
      </c>
      <c r="H53" s="3" t="s">
        <v>159</v>
      </c>
      <c r="I53" s="3" t="s">
        <v>158</v>
      </c>
    </row>
    <row r="54" spans="2:16" ht="15" customHeight="1">
      <c r="B54" s="3">
        <v>39</v>
      </c>
      <c r="C54" s="3" t="s">
        <v>99</v>
      </c>
      <c r="D54" s="3" t="s">
        <v>100</v>
      </c>
      <c r="E54" s="69">
        <v>151</v>
      </c>
      <c r="F54" s="3" t="s">
        <v>157</v>
      </c>
      <c r="H54" s="3" t="s">
        <v>156</v>
      </c>
      <c r="I54" s="3" t="s">
        <v>155</v>
      </c>
      <c r="J54" s="4" t="s">
        <v>154</v>
      </c>
      <c r="K54" s="4">
        <v>151</v>
      </c>
    </row>
    <row r="55" spans="2:16" ht="15" customHeight="1">
      <c r="B55" s="3">
        <v>40</v>
      </c>
      <c r="C55" s="3" t="s">
        <v>99</v>
      </c>
      <c r="D55" s="3" t="s">
        <v>64</v>
      </c>
      <c r="E55" s="69">
        <v>570</v>
      </c>
      <c r="F55" s="3" t="s">
        <v>7</v>
      </c>
      <c r="G55" s="3" t="s">
        <v>153</v>
      </c>
      <c r="H55" s="3" t="s">
        <v>152</v>
      </c>
      <c r="I55" s="3" t="s">
        <v>151</v>
      </c>
    </row>
    <row r="56" spans="2:16" ht="15" customHeight="1">
      <c r="B56" s="3">
        <v>40</v>
      </c>
      <c r="C56" s="3" t="s">
        <v>99</v>
      </c>
      <c r="D56" s="3" t="s">
        <v>65</v>
      </c>
      <c r="E56" s="69">
        <v>22</v>
      </c>
      <c r="F56" s="3" t="s">
        <v>143</v>
      </c>
      <c r="H56" s="3" t="s">
        <v>150</v>
      </c>
      <c r="I56" s="3" t="s">
        <v>149</v>
      </c>
      <c r="J56" s="4" t="s">
        <v>148</v>
      </c>
    </row>
    <row r="57" spans="2:16" ht="15" customHeight="1">
      <c r="B57" s="3">
        <v>41</v>
      </c>
      <c r="C57" s="3" t="s">
        <v>99</v>
      </c>
      <c r="D57" s="3" t="s">
        <v>66</v>
      </c>
      <c r="E57" s="69">
        <v>674</v>
      </c>
      <c r="F57" s="3" t="s">
        <v>143</v>
      </c>
      <c r="H57" s="3" t="s">
        <v>147</v>
      </c>
      <c r="I57" s="3" t="s">
        <v>146</v>
      </c>
      <c r="K57" s="4" t="s">
        <v>145</v>
      </c>
      <c r="L57" s="4" t="s">
        <v>144</v>
      </c>
      <c r="M57" s="3">
        <v>8.6999999999999993</v>
      </c>
      <c r="N57" s="3">
        <v>3</v>
      </c>
      <c r="O57" s="3">
        <v>4.3499999999999996</v>
      </c>
      <c r="P57" s="3">
        <v>17.399999999999999</v>
      </c>
    </row>
    <row r="58" spans="2:16">
      <c r="B58" s="3">
        <v>47</v>
      </c>
      <c r="C58" s="3" t="s">
        <v>99</v>
      </c>
      <c r="D58" s="3" t="s">
        <v>101</v>
      </c>
      <c r="E58" s="69">
        <v>518</v>
      </c>
      <c r="F58" s="3" t="s">
        <v>143</v>
      </c>
      <c r="H58" s="3" t="s">
        <v>142</v>
      </c>
      <c r="I58" s="3" t="s">
        <v>141</v>
      </c>
      <c r="K58" s="4">
        <v>519</v>
      </c>
    </row>
  </sheetData>
  <autoFilter ref="B2:U2" xr:uid="{DFDE9FB8-7F28-F74C-8DE9-272345C626BF}">
    <sortState xmlns:xlrd2="http://schemas.microsoft.com/office/spreadsheetml/2017/richdata2" ref="B3:U57">
      <sortCondition ref="C2:C57"/>
    </sortState>
  </autoFilter>
  <mergeCells count="3">
    <mergeCell ref="H1:J1"/>
    <mergeCell ref="M1:P1"/>
    <mergeCell ref="K1:L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481FCD-1E14-AA48-9CBB-4F673BDF3C1B}">
  <dimension ref="A1:J31"/>
  <sheetViews>
    <sheetView zoomScaleNormal="140" workbookViewId="0">
      <selection activeCell="F2" sqref="F2"/>
    </sheetView>
  </sheetViews>
  <sheetFormatPr baseColWidth="10" defaultRowHeight="16"/>
  <cols>
    <col min="1" max="1" width="20.5703125" bestFit="1" customWidth="1"/>
    <col min="2" max="2" width="20.5703125" customWidth="1"/>
    <col min="3" max="3" width="33.7109375" bestFit="1" customWidth="1"/>
  </cols>
  <sheetData>
    <row r="1" spans="1:10" s="2" customFormat="1">
      <c r="A1" s="6" t="s">
        <v>80</v>
      </c>
      <c r="B1" s="6" t="s">
        <v>81</v>
      </c>
      <c r="C1" s="6" t="s">
        <v>79</v>
      </c>
      <c r="D1" s="6" t="s">
        <v>0</v>
      </c>
      <c r="E1" s="6" t="s">
        <v>1</v>
      </c>
      <c r="F1" s="6" t="s">
        <v>131</v>
      </c>
      <c r="G1" s="6" t="s">
        <v>4</v>
      </c>
      <c r="H1" s="6" t="s">
        <v>78</v>
      </c>
      <c r="I1" s="6" t="s">
        <v>2</v>
      </c>
      <c r="J1" s="6"/>
    </row>
    <row r="2" spans="1:10">
      <c r="A2" t="s">
        <v>70</v>
      </c>
      <c r="B2" t="s">
        <v>82</v>
      </c>
      <c r="C2" t="s">
        <v>19</v>
      </c>
      <c r="D2" t="s">
        <v>30</v>
      </c>
      <c r="E2">
        <v>50</v>
      </c>
      <c r="F2">
        <v>1189</v>
      </c>
      <c r="H2">
        <v>2</v>
      </c>
      <c r="I2" t="s">
        <v>70</v>
      </c>
    </row>
    <row r="3" spans="1:10">
      <c r="A3" t="s">
        <v>71</v>
      </c>
      <c r="B3" t="s">
        <v>82</v>
      </c>
      <c r="C3" t="s">
        <v>17</v>
      </c>
      <c r="D3" t="s">
        <v>27</v>
      </c>
      <c r="E3">
        <v>50</v>
      </c>
      <c r="F3">
        <v>700</v>
      </c>
      <c r="G3" t="s">
        <v>7</v>
      </c>
      <c r="H3">
        <v>4</v>
      </c>
      <c r="I3" t="s">
        <v>71</v>
      </c>
    </row>
    <row r="4" spans="1:10">
      <c r="A4" t="s">
        <v>72</v>
      </c>
      <c r="B4" t="s">
        <v>82</v>
      </c>
      <c r="C4" t="s">
        <v>16</v>
      </c>
      <c r="D4" t="s">
        <v>29</v>
      </c>
      <c r="E4">
        <v>50</v>
      </c>
      <c r="F4">
        <v>248</v>
      </c>
      <c r="G4" t="s">
        <v>5</v>
      </c>
      <c r="H4">
        <v>5</v>
      </c>
      <c r="I4" t="s">
        <v>72</v>
      </c>
    </row>
    <row r="5" spans="1:10">
      <c r="A5" t="s">
        <v>86</v>
      </c>
      <c r="B5" t="s">
        <v>83</v>
      </c>
      <c r="C5" t="s">
        <v>15</v>
      </c>
      <c r="D5" t="s">
        <v>27</v>
      </c>
      <c r="E5">
        <v>50</v>
      </c>
      <c r="F5">
        <v>717</v>
      </c>
      <c r="G5" t="s">
        <v>7</v>
      </c>
      <c r="H5">
        <v>6</v>
      </c>
      <c r="I5" t="s">
        <v>73</v>
      </c>
    </row>
    <row r="6" spans="1:10">
      <c r="A6" t="s">
        <v>89</v>
      </c>
      <c r="B6" t="s">
        <v>83</v>
      </c>
      <c r="C6" t="s">
        <v>14</v>
      </c>
      <c r="D6" t="s">
        <v>28</v>
      </c>
      <c r="E6">
        <v>50</v>
      </c>
      <c r="F6">
        <v>1237</v>
      </c>
      <c r="G6" t="s">
        <v>5</v>
      </c>
      <c r="H6">
        <v>7</v>
      </c>
      <c r="I6" t="s">
        <v>74</v>
      </c>
    </row>
    <row r="7" spans="1:10">
      <c r="A7" t="s">
        <v>90</v>
      </c>
      <c r="B7" t="s">
        <v>83</v>
      </c>
      <c r="C7" t="s">
        <v>13</v>
      </c>
      <c r="D7" t="s">
        <v>26</v>
      </c>
      <c r="E7">
        <v>50</v>
      </c>
      <c r="F7">
        <v>2688</v>
      </c>
      <c r="G7" t="s">
        <v>5</v>
      </c>
      <c r="H7">
        <v>8</v>
      </c>
      <c r="I7" t="s">
        <v>75</v>
      </c>
    </row>
    <row r="8" spans="1:10">
      <c r="A8" t="s">
        <v>87</v>
      </c>
      <c r="B8" t="s">
        <v>83</v>
      </c>
      <c r="C8" t="s">
        <v>11</v>
      </c>
      <c r="D8" t="s">
        <v>24</v>
      </c>
      <c r="E8">
        <v>50</v>
      </c>
      <c r="F8">
        <v>245</v>
      </c>
      <c r="G8" t="s">
        <v>7</v>
      </c>
      <c r="H8">
        <v>10</v>
      </c>
      <c r="I8" t="s">
        <v>76</v>
      </c>
    </row>
    <row r="9" spans="1:10">
      <c r="A9" t="s">
        <v>88</v>
      </c>
      <c r="B9" t="s">
        <v>83</v>
      </c>
      <c r="C9" t="s">
        <v>10</v>
      </c>
      <c r="D9" t="s">
        <v>23</v>
      </c>
      <c r="E9">
        <v>50</v>
      </c>
      <c r="F9">
        <v>917</v>
      </c>
      <c r="G9" t="s">
        <v>7</v>
      </c>
      <c r="H9">
        <v>11</v>
      </c>
      <c r="I9" t="s">
        <v>77</v>
      </c>
    </row>
    <row r="10" spans="1:10">
      <c r="A10" t="s">
        <v>59</v>
      </c>
      <c r="B10" t="s">
        <v>83</v>
      </c>
      <c r="C10" t="s">
        <v>46</v>
      </c>
      <c r="D10" t="s">
        <v>56</v>
      </c>
      <c r="E10">
        <v>60</v>
      </c>
      <c r="F10">
        <v>3000</v>
      </c>
      <c r="G10" t="s">
        <v>7</v>
      </c>
      <c r="H10">
        <v>27</v>
      </c>
      <c r="I10" t="s">
        <v>59</v>
      </c>
    </row>
    <row r="11" spans="1:10">
      <c r="A11" t="s">
        <v>63</v>
      </c>
      <c r="B11" t="s">
        <v>82</v>
      </c>
      <c r="C11" t="s">
        <v>40</v>
      </c>
      <c r="D11" t="s">
        <v>52</v>
      </c>
      <c r="E11">
        <v>60</v>
      </c>
      <c r="F11">
        <v>522</v>
      </c>
      <c r="G11" t="s">
        <v>5</v>
      </c>
      <c r="H11">
        <v>21</v>
      </c>
      <c r="I11" t="s">
        <v>63</v>
      </c>
    </row>
    <row r="12" spans="1:10">
      <c r="A12" t="s">
        <v>62</v>
      </c>
      <c r="B12" t="s">
        <v>84</v>
      </c>
      <c r="C12" t="s">
        <v>43</v>
      </c>
      <c r="D12" t="s">
        <v>54</v>
      </c>
      <c r="E12">
        <v>60</v>
      </c>
      <c r="F12">
        <v>923</v>
      </c>
      <c r="G12" t="s">
        <v>7</v>
      </c>
      <c r="H12">
        <v>24</v>
      </c>
      <c r="I12" t="s">
        <v>62</v>
      </c>
    </row>
    <row r="13" spans="1:10">
      <c r="A13" t="s">
        <v>61</v>
      </c>
      <c r="B13" t="s">
        <v>84</v>
      </c>
      <c r="C13" t="s">
        <v>44</v>
      </c>
      <c r="D13" t="s">
        <v>55</v>
      </c>
      <c r="E13">
        <v>60</v>
      </c>
      <c r="F13">
        <v>192</v>
      </c>
      <c r="G13" t="s">
        <v>58</v>
      </c>
      <c r="H13">
        <v>25</v>
      </c>
      <c r="I13" t="s">
        <v>61</v>
      </c>
    </row>
    <row r="14" spans="1:10">
      <c r="A14" t="s">
        <v>69</v>
      </c>
      <c r="B14" t="s">
        <v>84</v>
      </c>
      <c r="C14" t="s">
        <v>34</v>
      </c>
      <c r="D14" t="s">
        <v>48</v>
      </c>
      <c r="E14">
        <v>50</v>
      </c>
      <c r="F14">
        <v>36</v>
      </c>
      <c r="H14">
        <v>15</v>
      </c>
      <c r="I14" t="s">
        <v>69</v>
      </c>
    </row>
    <row r="15" spans="1:10">
      <c r="A15" t="s">
        <v>68</v>
      </c>
      <c r="B15" t="s">
        <v>84</v>
      </c>
      <c r="C15" t="s">
        <v>36</v>
      </c>
      <c r="D15" t="s">
        <v>49</v>
      </c>
      <c r="E15">
        <v>60</v>
      </c>
      <c r="F15">
        <v>574</v>
      </c>
      <c r="G15" t="s">
        <v>5</v>
      </c>
      <c r="H15">
        <v>17</v>
      </c>
      <c r="I15" t="s">
        <v>68</v>
      </c>
    </row>
    <row r="16" spans="1:10">
      <c r="A16" t="s">
        <v>67</v>
      </c>
      <c r="B16" t="s">
        <v>84</v>
      </c>
      <c r="C16" t="s">
        <v>37</v>
      </c>
      <c r="D16" t="s">
        <v>22</v>
      </c>
      <c r="E16">
        <v>60</v>
      </c>
      <c r="F16">
        <v>230</v>
      </c>
      <c r="G16" t="s">
        <v>5</v>
      </c>
      <c r="H16">
        <v>18</v>
      </c>
      <c r="I16" t="s">
        <v>67</v>
      </c>
    </row>
    <row r="17" spans="1:9">
      <c r="A17" t="s">
        <v>64</v>
      </c>
      <c r="B17" t="s">
        <v>85</v>
      </c>
      <c r="C17" t="s">
        <v>41</v>
      </c>
      <c r="D17" t="s">
        <v>49</v>
      </c>
      <c r="E17">
        <v>60</v>
      </c>
      <c r="F17">
        <v>570</v>
      </c>
      <c r="G17" t="s">
        <v>5</v>
      </c>
      <c r="H17">
        <v>22</v>
      </c>
      <c r="I17" t="s">
        <v>64</v>
      </c>
    </row>
    <row r="18" spans="1:9">
      <c r="A18" t="s">
        <v>65</v>
      </c>
      <c r="B18" t="s">
        <v>85</v>
      </c>
      <c r="C18" t="s">
        <v>42</v>
      </c>
      <c r="D18" t="s">
        <v>53</v>
      </c>
      <c r="E18">
        <v>60</v>
      </c>
      <c r="F18">
        <v>25</v>
      </c>
      <c r="G18" t="s">
        <v>7</v>
      </c>
      <c r="H18">
        <v>23</v>
      </c>
      <c r="I18" t="s">
        <v>65</v>
      </c>
    </row>
    <row r="19" spans="1:9">
      <c r="A19" t="s">
        <v>66</v>
      </c>
      <c r="B19" t="s">
        <v>85</v>
      </c>
      <c r="C19" t="s">
        <v>38</v>
      </c>
      <c r="D19" t="s">
        <v>50</v>
      </c>
      <c r="E19">
        <v>60</v>
      </c>
      <c r="F19">
        <v>675</v>
      </c>
      <c r="G19" t="s">
        <v>5</v>
      </c>
      <c r="H19">
        <v>19</v>
      </c>
      <c r="I19" t="s">
        <v>66</v>
      </c>
    </row>
    <row r="20" spans="1:9">
      <c r="A20" s="1" t="s">
        <v>32</v>
      </c>
      <c r="B20" s="1"/>
      <c r="C20" t="s">
        <v>20</v>
      </c>
      <c r="D20" t="s">
        <v>31</v>
      </c>
      <c r="E20">
        <v>50</v>
      </c>
      <c r="F20" s="1" t="s">
        <v>32</v>
      </c>
      <c r="H20">
        <v>1</v>
      </c>
      <c r="I20" t="s">
        <v>60</v>
      </c>
    </row>
    <row r="21" spans="1:9">
      <c r="A21" s="1" t="s">
        <v>32</v>
      </c>
      <c r="B21" s="1"/>
      <c r="C21" t="s">
        <v>18</v>
      </c>
      <c r="D21" t="s">
        <v>25</v>
      </c>
      <c r="E21">
        <v>50</v>
      </c>
      <c r="F21" s="1" t="s">
        <v>32</v>
      </c>
      <c r="H21">
        <v>3</v>
      </c>
      <c r="I21" t="s">
        <v>60</v>
      </c>
    </row>
    <row r="22" spans="1:9">
      <c r="A22" s="1" t="s">
        <v>32</v>
      </c>
      <c r="B22" s="1"/>
      <c r="C22" t="s">
        <v>12</v>
      </c>
      <c r="D22" t="s">
        <v>25</v>
      </c>
      <c r="E22">
        <v>50</v>
      </c>
      <c r="F22" s="1" t="s">
        <v>32</v>
      </c>
      <c r="G22" s="1" t="s">
        <v>32</v>
      </c>
      <c r="H22" s="1">
        <v>9</v>
      </c>
      <c r="I22" t="s">
        <v>60</v>
      </c>
    </row>
    <row r="23" spans="1:9">
      <c r="A23" s="1" t="s">
        <v>32</v>
      </c>
      <c r="B23" s="1"/>
      <c r="C23" t="s">
        <v>9</v>
      </c>
      <c r="D23" t="s">
        <v>21</v>
      </c>
      <c r="E23">
        <v>50</v>
      </c>
      <c r="F23" s="1" t="s">
        <v>32</v>
      </c>
      <c r="G23" s="1" t="s">
        <v>32</v>
      </c>
      <c r="H23" s="1">
        <v>12</v>
      </c>
      <c r="I23" t="s">
        <v>60</v>
      </c>
    </row>
    <row r="24" spans="1:9">
      <c r="A24" s="1" t="s">
        <v>32</v>
      </c>
      <c r="B24" s="1"/>
      <c r="C24" t="s">
        <v>8</v>
      </c>
      <c r="D24" t="s">
        <v>21</v>
      </c>
      <c r="E24">
        <v>50</v>
      </c>
      <c r="F24" s="1" t="s">
        <v>32</v>
      </c>
      <c r="G24" s="1" t="s">
        <v>32</v>
      </c>
      <c r="H24" s="1">
        <v>13</v>
      </c>
      <c r="I24" t="s">
        <v>60</v>
      </c>
    </row>
    <row r="25" spans="1:9">
      <c r="A25" s="1" t="s">
        <v>32</v>
      </c>
      <c r="B25" s="1"/>
      <c r="C25" t="s">
        <v>33</v>
      </c>
      <c r="D25" t="s">
        <v>21</v>
      </c>
      <c r="E25">
        <v>50</v>
      </c>
      <c r="F25" s="1" t="s">
        <v>32</v>
      </c>
      <c r="H25">
        <v>14</v>
      </c>
      <c r="I25" t="s">
        <v>60</v>
      </c>
    </row>
    <row r="26" spans="1:9">
      <c r="A26" s="1" t="s">
        <v>32</v>
      </c>
      <c r="B26" s="1"/>
      <c r="C26" t="s">
        <v>45</v>
      </c>
      <c r="D26" t="s">
        <v>31</v>
      </c>
      <c r="E26">
        <v>60</v>
      </c>
      <c r="F26" s="1" t="s">
        <v>32</v>
      </c>
      <c r="H26">
        <v>26</v>
      </c>
      <c r="I26" t="s">
        <v>60</v>
      </c>
    </row>
    <row r="27" spans="1:9">
      <c r="A27" s="1" t="s">
        <v>32</v>
      </c>
      <c r="B27" s="1"/>
      <c r="C27" t="s">
        <v>35</v>
      </c>
      <c r="D27" t="s">
        <v>21</v>
      </c>
      <c r="E27">
        <v>60</v>
      </c>
      <c r="F27" s="1" t="s">
        <v>32</v>
      </c>
      <c r="H27">
        <v>16</v>
      </c>
      <c r="I27" t="s">
        <v>60</v>
      </c>
    </row>
    <row r="28" spans="1:9">
      <c r="A28" s="1" t="s">
        <v>32</v>
      </c>
      <c r="B28" s="1"/>
      <c r="C28" t="s">
        <v>39</v>
      </c>
      <c r="D28" t="s">
        <v>51</v>
      </c>
      <c r="E28">
        <v>60</v>
      </c>
      <c r="F28" s="1" t="s">
        <v>32</v>
      </c>
      <c r="H28">
        <v>20</v>
      </c>
      <c r="I28" t="s">
        <v>60</v>
      </c>
    </row>
    <row r="29" spans="1:9">
      <c r="A29" s="1" t="s">
        <v>32</v>
      </c>
      <c r="B29" s="1"/>
      <c r="C29" t="s">
        <v>6</v>
      </c>
      <c r="D29" t="s">
        <v>23</v>
      </c>
      <c r="E29">
        <v>60</v>
      </c>
      <c r="F29">
        <v>923</v>
      </c>
      <c r="G29" t="s">
        <v>7</v>
      </c>
      <c r="H29">
        <v>24</v>
      </c>
      <c r="I29" t="s">
        <v>57</v>
      </c>
    </row>
    <row r="30" spans="1:9">
      <c r="A30" s="1" t="s">
        <v>32</v>
      </c>
      <c r="B30" s="1"/>
      <c r="C30" t="s">
        <v>3</v>
      </c>
      <c r="D30" t="s">
        <v>22</v>
      </c>
      <c r="E30">
        <v>60</v>
      </c>
      <c r="F30">
        <v>230</v>
      </c>
      <c r="G30" t="s">
        <v>5</v>
      </c>
      <c r="H30">
        <v>18</v>
      </c>
      <c r="I30" t="s">
        <v>57</v>
      </c>
    </row>
    <row r="31" spans="1:9">
      <c r="A31" s="1" t="s">
        <v>32</v>
      </c>
      <c r="B31" s="1"/>
      <c r="C31" t="s">
        <v>47</v>
      </c>
      <c r="D31" t="s">
        <v>22</v>
      </c>
      <c r="E31">
        <v>60</v>
      </c>
      <c r="F31">
        <v>230</v>
      </c>
      <c r="G31" t="s">
        <v>5</v>
      </c>
      <c r="H31">
        <v>18</v>
      </c>
      <c r="I31" t="s">
        <v>57</v>
      </c>
    </row>
  </sheetData>
  <autoFilter ref="C1:I1" xr:uid="{95481FCD-1E14-AA48-9CBB-4F673BDF3C1B}">
    <sortState xmlns:xlrd2="http://schemas.microsoft.com/office/spreadsheetml/2017/richdata2" ref="C2:I31">
      <sortCondition ref="I1:I31"/>
    </sortState>
  </autoFilter>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Trial results</vt:lpstr>
      <vt:lpstr>Copy from fabrication tracking</vt:lpstr>
      <vt:lpstr>File log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Charlotte Folinus</dc:creator>
  <cp:lastModifiedBy>Charlotte Folinus</cp:lastModifiedBy>
  <dcterms:created xsi:type="dcterms:W3CDTF">2025-10-27T17:36:51Z</dcterms:created>
  <dcterms:modified xsi:type="dcterms:W3CDTF">2025-11-25T13:25:57Z</dcterms:modified>
</cp:coreProperties>
</file>