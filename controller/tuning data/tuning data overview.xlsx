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olinus/Documents/MIT/CMF FIDL/07 Control/soft-actuator-controller/controller/tuning data/"/>
    </mc:Choice>
  </mc:AlternateContent>
  <xr:revisionPtr revIDLastSave="0" documentId="13_ncr:1_{3ABACB3D-81B3-0544-8408-109F165D36AA}" xr6:coauthVersionLast="47" xr6:coauthVersionMax="47" xr10:uidLastSave="{00000000-0000-0000-0000-000000000000}"/>
  <bookViews>
    <workbookView xWindow="0" yWindow="780" windowWidth="26360" windowHeight="20640" activeTab="1" xr2:uid="{CB76BD02-C45A-F243-9B85-AA0FA8F12FFA}"/>
  </bookViews>
  <sheets>
    <sheet name="Calibration files" sheetId="1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18" i="2"/>
  <c r="E19" i="2"/>
  <c r="E20" i="2"/>
  <c r="D20" i="2"/>
  <c r="D19" i="2"/>
  <c r="D18" i="2"/>
  <c r="D17" i="2"/>
  <c r="E13" i="2"/>
  <c r="D13" i="2"/>
  <c r="E7" i="2"/>
  <c r="E21" i="2" s="1"/>
  <c r="D7" i="2"/>
  <c r="D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tc={E6661CFF-E077-E844-870D-103DEF51A3CA}</author>
  </authors>
  <commentList>
    <comment ref="E1" authorId="0" shapeId="0" xr:uid="{E6661CFF-E077-E844-870D-103DEF51A3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Pressure at small regulator. Unless otherwise noted, upstream (wall) regulator pressure at 35 psi</t>
      </text>
    </comment>
  </commentList>
</comments>
</file>

<file path=xl/sharedStrings.xml><?xml version="1.0" encoding="utf-8"?>
<sst xmlns="http://schemas.openxmlformats.org/spreadsheetml/2006/main" count="240" uniqueCount="93">
  <si>
    <t>Kim Possible</t>
  </si>
  <si>
    <t>Ron Stoppable</t>
  </si>
  <si>
    <t>Configuration</t>
  </si>
  <si>
    <t>Test type</t>
  </si>
  <si>
    <t>Analog value at 95% of change to steady-state</t>
  </si>
  <si>
    <t>Analog value at 5% of change to steady-state</t>
  </si>
  <si>
    <t>Pressure</t>
  </si>
  <si>
    <t>Primary</t>
  </si>
  <si>
    <t>Filename [.txt]</t>
  </si>
  <si>
    <t>Notes</t>
  </si>
  <si>
    <t>kim possible/tuning_data_vent_251126_15psi</t>
  </si>
  <si>
    <t>kim possible/tuning_data_vent_251126_20psi</t>
  </si>
  <si>
    <t>kim possible/tuning_data_vent_251126_30psi</t>
  </si>
  <si>
    <t>Starting pressure [psi]</t>
  </si>
  <si>
    <t>Final pressure [psi]</t>
  </si>
  <si>
    <t>kim possible/tuning_data_vent_251126_30psi_trial2</t>
  </si>
  <si>
    <t>Secondary</t>
  </si>
  <si>
    <t>kim possible/secondary configuration/tuning_data_vent_251126_15psi</t>
  </si>
  <si>
    <t>kim possible/secondary configuration/tuning_data_vent_251126_20psi</t>
  </si>
  <si>
    <t>kim possible/secondary configuration/tuning_data_vent_251126_30psi</t>
  </si>
  <si>
    <t>Vent</t>
  </si>
  <si>
    <t>ron stoppable/tuning_data_pressure_251125_15psi</t>
  </si>
  <si>
    <t>ron stoppable/tuning_data_pressure_251125_20psi</t>
  </si>
  <si>
    <t>ron stoppable/tuning_data_pressure_251125_30psi</t>
  </si>
  <si>
    <t>ron stoppable/secondary configuration/tuning_data_vent_251126_15psi</t>
  </si>
  <si>
    <t>ron stoppable/secondary configuration/tuning_data_vent_251126_20psi</t>
  </si>
  <si>
    <t>ron stoppable/secondary configuration/tuning_data_vent_251126_30psi</t>
  </si>
  <si>
    <t>ron stoppable/tuning_data_vent_251125_15psi</t>
  </si>
  <si>
    <t>ron stoppable/tuning_data_vent_251125_20psi</t>
  </si>
  <si>
    <t>ron stoppable/tuning_data_vent_251125_30psi</t>
  </si>
  <si>
    <t>45 psi at wall</t>
  </si>
  <si>
    <t>ron stoppable/valve 02/tuning_data_pressure_251126_15psi</t>
  </si>
  <si>
    <t>ron stoppable/valve 02/tuning_data_pressure_251126_20psi</t>
  </si>
  <si>
    <t>ron stoppable/valve 02/tuning_data_pressure_251126_30psi</t>
  </si>
  <si>
    <t>ron stoppable/valve 02/tuning_data_vent_251126_15psi</t>
  </si>
  <si>
    <t>ron stoppable/valve 02/tuning_data_vent_251126_20psi</t>
  </si>
  <si>
    <t>ron stoppable/valve 02/tuning_data_vent_251126_30psi</t>
  </si>
  <si>
    <t>ron stoppable/valve 02/secondary configuration/tuning_data_vent_251126_15psi</t>
  </si>
  <si>
    <t>ron stoppable/valve 02/secondary configuration/tuning_data_vent_251126_20psi</t>
  </si>
  <si>
    <t>ron stoppable/valve 02/secondary configuration/tuning_data_vent_251126_30psi</t>
  </si>
  <si>
    <t>kim possible/tuning_data_pressure_251126_15psi</t>
  </si>
  <si>
    <t>kim possible/tuning_data_pressure_251126_20psi</t>
  </si>
  <si>
    <t>kim possible/tuning_data_pressure_251126_30psi</t>
  </si>
  <si>
    <t>ron stoppable/valve 02/upstream 45psi/tuning_data_pressure_251126_15psi</t>
  </si>
  <si>
    <t>ron stoppable/valve 02/upstream 45psi/tuning_data_pressure_251126_20psi</t>
  </si>
  <si>
    <t>ron stoppable/valve 02/upstream 45psi/tuning_data_pressure_251126_30psi</t>
  </si>
  <si>
    <t>ron stoppable/valve 02/upstream 45psi/tuning_data_vent_251126_15psi</t>
  </si>
  <si>
    <t>ron stoppable/valve 02/upstream 45psi/tuning_data_vent_251126_20psi</t>
  </si>
  <si>
    <t>ron stoppable/valve 02/upstream 45psi/tuning_data_vent_251126_30psi</t>
  </si>
  <si>
    <t>Calibration curve</t>
  </si>
  <si>
    <t>kim possible - tuning_data_pressure_251126</t>
  </si>
  <si>
    <t>kim possible - tuning_data_vent_251126</t>
  </si>
  <si>
    <t>kim possible - secondary configuration - tuning_data_pressure_251126</t>
  </si>
  <si>
    <t>ron stoppable - secondary configuration - tuning_data_vent_251126</t>
  </si>
  <si>
    <t>ron stoppable - tuning_data_vent_251125</t>
  </si>
  <si>
    <t>ron stoppable - tuning_data_pressure_251125</t>
  </si>
  <si>
    <t>ron stoppable - valve 02 - tuning_data_pressure_251126</t>
  </si>
  <si>
    <t>ron stoppable - valve 02 - tuning_data_vent_251126</t>
  </si>
  <si>
    <t>ron stoppable - valve 02 - secondary configuration - tuning_data_vent_251126</t>
  </si>
  <si>
    <t>ron stoppable - valve 02 - upstream 45psi - tuning_data_pressure_251126</t>
  </si>
  <si>
    <t>ron stoppable - valve 02 - upstream 45psi - tuning_data_vent_251126</t>
  </si>
  <si>
    <t>Nominal source pressure [psi]</t>
  </si>
  <si>
    <t>Valve ID</t>
  </si>
  <si>
    <t>Controller ID</t>
  </si>
  <si>
    <t>Sensor offset at time of test</t>
  </si>
  <si>
    <t>Updated sensor offset</t>
  </si>
  <si>
    <t>Calibration data</t>
  </si>
  <si>
    <t>ANALOG_PRESSURE_MIN</t>
  </si>
  <si>
    <t>ANALOG_PRESSURE_MAX</t>
  </si>
  <si>
    <t>ANALOG_VENT_MIN</t>
  </si>
  <si>
    <t>ANALOG_VENT_MAX</t>
  </si>
  <si>
    <t>OVERPRESSURE_LIMIT</t>
  </si>
  <si>
    <t>FILTER_ALPHA</t>
  </si>
  <si>
    <t>SENSOR_OFFSET</t>
  </si>
  <si>
    <t>PRESSURE_READ_DELAY</t>
  </si>
  <si>
    <t>INTERP_CALC_DELAY</t>
  </si>
  <si>
    <t>CONTROLLER_DELAY</t>
  </si>
  <si>
    <t>KP</t>
  </si>
  <si>
    <t>KI</t>
  </si>
  <si>
    <t>KD</t>
  </si>
  <si>
    <t>TIMES</t>
  </si>
  <si>
    <t>PRESSURES</t>
  </si>
  <si>
    <t>Pressure watchdog</t>
  </si>
  <si>
    <t>Recommended default from Evan: 30 (ms)</t>
  </si>
  <si>
    <t>TRAJ_FAIL_TIME</t>
  </si>
  <si>
    <t>Hardcoded as 2, no variable given</t>
  </si>
  <si>
    <t>Settings inputs</t>
  </si>
  <si>
    <t>Hardware specific</t>
  </si>
  <si>
    <t>Test specific</t>
  </si>
  <si>
    <t>TRAJ_FAIL_PRESSURE</t>
  </si>
  <si>
    <t>adjustableSettings_kim</t>
  </si>
  <si>
    <t>adjustableSettings_ron</t>
  </si>
  <si>
    <t>Settings filename [.cpp]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</si>
</sst>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b/>
      <sz val="12"/>
      <color theme="1"/>
      <name val="ArialMT"/>
    </font>
    <font>
      <sz val="8"/>
      <name val="ArialMT"/>
      <family val="2"/>
    </font>
    <font>
      <b/>
      <sz val="12"/>
      <color theme="0"/>
      <name val="ArialMT"/>
    </font>
    <font>
      <sz val="8"/>
      <color theme="1"/>
      <name val="ArialMT"/>
      <family val="2"/>
    </font>
    <font>
      <b/>
      <sz val="15"/>
      <color theme="1"/>
      <name val="ArialMT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19" borderId="1" xfId="0" applyFont="1" applyFill="1" applyBorder="1" applyAlignment="1">
      <alignment horizontal="left" textRotation="90"/>
    </xf>
    <xf numFmtId="0" fontId="1" fillId="16" borderId="1" xfId="0" applyFont="1" applyFill="1" applyBorder="1" applyAlignment="1">
      <alignment horizontal="left" textRotation="90"/>
    </xf>
    <xf numFmtId="0" fontId="0" fillId="0" borderId="0" xfId="0" applyBorder="1"/>
    <xf numFmtId="0" fontId="0" fillId="0" borderId="7" xfId="0" applyBorder="1"/>
    <xf numFmtId="0" fontId="0" fillId="0" borderId="11" xfId="0" applyBorder="1"/>
    <xf numFmtId="0" fontId="3" fillId="18" borderId="12" xfId="0" applyFont="1" applyFill="1" applyBorder="1" applyAlignment="1">
      <alignment horizontal="left" wrapText="1"/>
    </xf>
    <xf numFmtId="9" fontId="3" fillId="18" borderId="12" xfId="0" applyNumberFormat="1" applyFont="1" applyFill="1" applyBorder="1" applyAlignment="1">
      <alignment horizontal="left" wrapText="1"/>
    </xf>
    <xf numFmtId="0" fontId="1" fillId="17" borderId="12" xfId="0" applyFont="1" applyFill="1" applyBorder="1" applyAlignment="1">
      <alignment horizontal="left" wrapText="1"/>
    </xf>
    <xf numFmtId="9" fontId="1" fillId="17" borderId="12" xfId="0" applyNumberFormat="1" applyFont="1" applyFill="1" applyBorder="1" applyAlignment="1">
      <alignment horizontal="left" wrapText="1"/>
    </xf>
    <xf numFmtId="0" fontId="3" fillId="19" borderId="19" xfId="0" applyFont="1" applyFill="1" applyBorder="1" applyAlignment="1">
      <alignment horizontal="left" textRotation="90"/>
    </xf>
    <xf numFmtId="0" fontId="3" fillId="18" borderId="20" xfId="0" applyFont="1" applyFill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16" borderId="10" xfId="0" applyFont="1" applyFill="1" applyBorder="1" applyAlignment="1">
      <alignment horizontal="left" textRotation="90"/>
    </xf>
    <xf numFmtId="0" fontId="1" fillId="17" borderId="13" xfId="0" applyFont="1" applyFill="1" applyBorder="1" applyAlignment="1">
      <alignment horizontal="left" wrapText="1"/>
    </xf>
    <xf numFmtId="0" fontId="5" fillId="20" borderId="3" xfId="0" applyFont="1" applyFill="1" applyBorder="1" applyAlignment="1">
      <alignment horizontal="center" textRotation="90" wrapText="1"/>
    </xf>
    <xf numFmtId="0" fontId="5" fillId="20" borderId="6" xfId="0" applyFont="1" applyFill="1" applyBorder="1" applyAlignment="1">
      <alignment horizontal="center" textRotation="90" wrapText="1"/>
    </xf>
    <xf numFmtId="0" fontId="5" fillId="20" borderId="9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21" borderId="1" xfId="0" applyFont="1" applyFill="1" applyBorder="1" applyAlignment="1">
      <alignment horizontal="left" textRotation="90" wrapText="1"/>
    </xf>
    <xf numFmtId="0" fontId="0" fillId="0" borderId="0" xfId="0" applyAlignment="1">
      <alignment horizontal="left"/>
    </xf>
    <xf numFmtId="0" fontId="0" fillId="0" borderId="23" xfId="0" applyBorder="1" applyAlignment="1">
      <alignment horizontal="left"/>
    </xf>
    <xf numFmtId="0" fontId="5" fillId="20" borderId="18" xfId="0" applyFont="1" applyFill="1" applyBorder="1" applyAlignment="1">
      <alignment horizontal="left" textRotation="90"/>
    </xf>
    <xf numFmtId="0" fontId="5" fillId="20" borderId="6" xfId="0" applyFont="1" applyFill="1" applyBorder="1" applyAlignment="1">
      <alignment horizontal="left" textRotation="90"/>
    </xf>
    <xf numFmtId="0" fontId="5" fillId="20" borderId="9" xfId="0" applyFont="1" applyFill="1" applyBorder="1" applyAlignment="1">
      <alignment horizontal="left" textRotation="90"/>
    </xf>
    <xf numFmtId="0" fontId="0" fillId="0" borderId="8" xfId="0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4" borderId="26" xfId="0" applyFont="1" applyFill="1" applyBorder="1" applyAlignment="1">
      <alignment horizontal="center"/>
    </xf>
    <xf numFmtId="0" fontId="5" fillId="13" borderId="27" xfId="0" applyFont="1" applyFill="1" applyBorder="1" applyAlignment="1">
      <alignment horizontal="center"/>
    </xf>
    <xf numFmtId="0" fontId="5" fillId="14" borderId="2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textRotation="90"/>
    </xf>
    <xf numFmtId="0" fontId="0" fillId="20" borderId="4" xfId="0" applyFill="1" applyBorder="1" applyAlignment="1">
      <alignment horizontal="left"/>
    </xf>
    <xf numFmtId="0" fontId="5" fillId="0" borderId="4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7" xfId="0" applyFont="1" applyFill="1" applyBorder="1"/>
    <xf numFmtId="0" fontId="1" fillId="22" borderId="10" xfId="0" applyFont="1" applyFill="1" applyBorder="1" applyAlignment="1">
      <alignment horizontal="left" textRotation="90"/>
    </xf>
    <xf numFmtId="0" fontId="5" fillId="0" borderId="29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Fill="1" applyBorder="1"/>
    <xf numFmtId="0" fontId="1" fillId="11" borderId="7" xfId="0" applyFont="1" applyFill="1" applyBorder="1"/>
    <xf numFmtId="0" fontId="1" fillId="0" borderId="7" xfId="0" applyFont="1" applyBorder="1"/>
    <xf numFmtId="0" fontId="1" fillId="23" borderId="7" xfId="0" applyFont="1" applyFill="1" applyBorder="1"/>
    <xf numFmtId="0" fontId="1" fillId="23" borderId="11" xfId="0" applyFont="1" applyFill="1" applyBorder="1"/>
    <xf numFmtId="0" fontId="5" fillId="20" borderId="2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rlotte Folinus" id="{0D72490A-6E52-ED4E-9A0F-D7B5761EABBD}" userId="Charlotte Folinu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01T14:21:54.01" personId="{0D72490A-6E52-ED4E-9A0F-D7B5761EABBD}" id="{E6661CFF-E077-E844-870D-103DEF51A3CA}">
    <text>Pressure at small regulator. Unless otherwise noted, upstream (wall) regulator pressure at 35 psi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37DF-9E9B-6449-9D45-7F7B4D6E3864}">
  <dimension ref="A1:L35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H29" sqref="H29"/>
    </sheetView>
  </sheetViews>
  <sheetFormatPr baseColWidth="10" defaultRowHeight="16"/>
  <cols>
    <col min="1" max="1" width="60.7109375" customWidth="1"/>
    <col min="2" max="2" width="75.7109375" customWidth="1"/>
    <col min="3" max="11" width="15.7109375" customWidth="1"/>
    <col min="12" max="12" width="75.7109375" customWidth="1"/>
  </cols>
  <sheetData>
    <row r="1" spans="1:12" s="1" customFormat="1" ht="50" customHeight="1">
      <c r="A1" s="2" t="s">
        <v>8</v>
      </c>
      <c r="B1" s="2" t="s">
        <v>49</v>
      </c>
      <c r="C1" s="2" t="s">
        <v>63</v>
      </c>
      <c r="D1" s="2" t="s">
        <v>62</v>
      </c>
      <c r="E1" s="2" t="s">
        <v>61</v>
      </c>
      <c r="F1" s="2" t="s">
        <v>3</v>
      </c>
      <c r="G1" s="2" t="s">
        <v>2</v>
      </c>
      <c r="H1" s="2" t="s">
        <v>13</v>
      </c>
      <c r="I1" s="2" t="s">
        <v>14</v>
      </c>
      <c r="J1" s="3" t="s">
        <v>5</v>
      </c>
      <c r="K1" s="3" t="s">
        <v>4</v>
      </c>
      <c r="L1" s="2" t="s">
        <v>9</v>
      </c>
    </row>
    <row r="2" spans="1:12">
      <c r="A2" s="4" t="s">
        <v>40</v>
      </c>
      <c r="B2" s="5" t="s">
        <v>50</v>
      </c>
      <c r="C2" s="16" t="s">
        <v>0</v>
      </c>
      <c r="D2" s="4">
        <v>3</v>
      </c>
      <c r="E2" s="4">
        <v>15</v>
      </c>
      <c r="F2" s="4" t="s">
        <v>6</v>
      </c>
      <c r="G2" s="4" t="s">
        <v>7</v>
      </c>
      <c r="H2" s="4">
        <v>0.06</v>
      </c>
      <c r="I2" s="4">
        <v>16.8</v>
      </c>
      <c r="J2" s="4">
        <v>166</v>
      </c>
      <c r="K2" s="19">
        <v>185</v>
      </c>
      <c r="L2" s="4"/>
    </row>
    <row r="3" spans="1:12">
      <c r="A3" s="4" t="s">
        <v>41</v>
      </c>
      <c r="B3" s="5" t="s">
        <v>50</v>
      </c>
      <c r="C3" s="16" t="s">
        <v>0</v>
      </c>
      <c r="D3" s="4">
        <v>3</v>
      </c>
      <c r="E3" s="4">
        <v>20</v>
      </c>
      <c r="F3" s="4" t="s">
        <v>6</v>
      </c>
      <c r="G3" s="4" t="s">
        <v>7</v>
      </c>
      <c r="H3" s="4">
        <v>0.06</v>
      </c>
      <c r="I3" s="4">
        <v>21.3</v>
      </c>
      <c r="J3" s="4">
        <v>161</v>
      </c>
      <c r="K3" s="4">
        <v>184</v>
      </c>
      <c r="L3" s="4"/>
    </row>
    <row r="4" spans="1:12">
      <c r="A4" s="4" t="s">
        <v>42</v>
      </c>
      <c r="B4" s="5" t="s">
        <v>50</v>
      </c>
      <c r="C4" s="16" t="s">
        <v>0</v>
      </c>
      <c r="D4" s="4">
        <v>3</v>
      </c>
      <c r="E4" s="4">
        <v>30</v>
      </c>
      <c r="F4" s="4" t="s">
        <v>6</v>
      </c>
      <c r="G4" s="4" t="s">
        <v>7</v>
      </c>
      <c r="H4" s="18">
        <v>0.06</v>
      </c>
      <c r="I4" s="18">
        <v>30.9</v>
      </c>
      <c r="J4" s="18">
        <v>151</v>
      </c>
      <c r="K4" s="18">
        <v>183</v>
      </c>
      <c r="L4" s="4"/>
    </row>
    <row r="5" spans="1:12">
      <c r="A5" s="4" t="s">
        <v>10</v>
      </c>
      <c r="B5" s="6" t="s">
        <v>51</v>
      </c>
      <c r="C5" s="16" t="s">
        <v>0</v>
      </c>
      <c r="D5" s="4">
        <v>3</v>
      </c>
      <c r="E5" s="4">
        <v>15</v>
      </c>
      <c r="F5" s="4" t="s">
        <v>20</v>
      </c>
      <c r="G5" s="4" t="s">
        <v>7</v>
      </c>
      <c r="H5" s="4">
        <v>16.899999999999999</v>
      </c>
      <c r="I5" s="4">
        <v>8.61</v>
      </c>
      <c r="J5" s="4">
        <v>165</v>
      </c>
      <c r="K5" s="4">
        <v>171</v>
      </c>
      <c r="L5" s="4"/>
    </row>
    <row r="6" spans="1:12">
      <c r="A6" s="4" t="s">
        <v>11</v>
      </c>
      <c r="B6" s="6" t="s">
        <v>51</v>
      </c>
      <c r="C6" s="16" t="s">
        <v>0</v>
      </c>
      <c r="D6" s="4">
        <v>3</v>
      </c>
      <c r="E6" s="4">
        <v>20</v>
      </c>
      <c r="F6" s="4" t="s">
        <v>20</v>
      </c>
      <c r="G6" s="4" t="s">
        <v>7</v>
      </c>
      <c r="H6" s="4">
        <v>22.1</v>
      </c>
      <c r="I6" s="4">
        <v>11.6</v>
      </c>
      <c r="J6" s="4">
        <v>163</v>
      </c>
      <c r="K6" s="4">
        <v>170</v>
      </c>
      <c r="L6" s="4"/>
    </row>
    <row r="7" spans="1:12">
      <c r="A7" s="4" t="s">
        <v>12</v>
      </c>
      <c r="C7" s="16" t="s">
        <v>0</v>
      </c>
      <c r="D7" s="4">
        <v>3</v>
      </c>
      <c r="E7" s="4">
        <v>30</v>
      </c>
      <c r="F7" s="4" t="s">
        <v>20</v>
      </c>
      <c r="G7" s="4" t="s">
        <v>7</v>
      </c>
      <c r="H7" s="4"/>
      <c r="I7" s="4"/>
      <c r="J7" s="4"/>
      <c r="K7" s="4"/>
      <c r="L7" s="4"/>
    </row>
    <row r="8" spans="1:12">
      <c r="A8" s="4" t="s">
        <v>15</v>
      </c>
      <c r="B8" s="6" t="s">
        <v>51</v>
      </c>
      <c r="C8" s="16" t="s">
        <v>0</v>
      </c>
      <c r="D8" s="4">
        <v>3</v>
      </c>
      <c r="E8" s="4">
        <v>30</v>
      </c>
      <c r="F8" s="4" t="s">
        <v>20</v>
      </c>
      <c r="G8" s="4" t="s">
        <v>7</v>
      </c>
      <c r="H8" s="4">
        <v>31.4</v>
      </c>
      <c r="I8" s="4">
        <v>14.7</v>
      </c>
      <c r="J8" s="4">
        <v>155</v>
      </c>
      <c r="K8" s="4">
        <v>168</v>
      </c>
      <c r="L8" s="4"/>
    </row>
    <row r="9" spans="1:12">
      <c r="A9" s="4" t="s">
        <v>17</v>
      </c>
      <c r="B9" s="7" t="s">
        <v>52</v>
      </c>
      <c r="C9" s="16" t="s">
        <v>0</v>
      </c>
      <c r="D9" s="4">
        <v>3</v>
      </c>
      <c r="E9" s="4">
        <v>15</v>
      </c>
      <c r="F9" s="4" t="s">
        <v>20</v>
      </c>
      <c r="G9" s="4" t="s">
        <v>16</v>
      </c>
      <c r="H9" s="4">
        <v>0.06</v>
      </c>
      <c r="I9" s="4">
        <v>17.399999999999999</v>
      </c>
      <c r="J9" s="4">
        <v>156</v>
      </c>
      <c r="K9" s="19">
        <v>160</v>
      </c>
      <c r="L9" s="4"/>
    </row>
    <row r="10" spans="1:12">
      <c r="A10" s="4" t="s">
        <v>18</v>
      </c>
      <c r="B10" s="7" t="s">
        <v>52</v>
      </c>
      <c r="C10" s="16" t="s">
        <v>0</v>
      </c>
      <c r="D10" s="4">
        <v>3</v>
      </c>
      <c r="E10" s="4">
        <v>20</v>
      </c>
      <c r="F10" s="4" t="s">
        <v>20</v>
      </c>
      <c r="G10" s="4" t="s">
        <v>16</v>
      </c>
      <c r="H10" s="4">
        <v>7.0999999999999994E-2</v>
      </c>
      <c r="I10" s="4">
        <v>22.7</v>
      </c>
      <c r="J10" s="4">
        <v>152</v>
      </c>
      <c r="K10" s="4">
        <v>159</v>
      </c>
      <c r="L10" s="4"/>
    </row>
    <row r="11" spans="1:12">
      <c r="A11" s="4" t="s">
        <v>19</v>
      </c>
      <c r="B11" s="7" t="s">
        <v>52</v>
      </c>
      <c r="C11" s="16" t="s">
        <v>0</v>
      </c>
      <c r="D11" s="4">
        <v>3</v>
      </c>
      <c r="E11" s="4">
        <v>30</v>
      </c>
      <c r="F11" s="4" t="s">
        <v>20</v>
      </c>
      <c r="G11" s="4" t="s">
        <v>16</v>
      </c>
      <c r="H11" s="18">
        <v>0.06</v>
      </c>
      <c r="I11" s="18">
        <v>31.4</v>
      </c>
      <c r="J11" s="18">
        <v>145</v>
      </c>
      <c r="K11" s="18">
        <v>158</v>
      </c>
      <c r="L11" s="4"/>
    </row>
    <row r="12" spans="1:12">
      <c r="A12" s="4" t="s">
        <v>21</v>
      </c>
      <c r="B12" s="8" t="s">
        <v>55</v>
      </c>
      <c r="C12" s="17" t="s">
        <v>1</v>
      </c>
      <c r="D12" s="4">
        <v>1</v>
      </c>
      <c r="E12" s="4">
        <v>15</v>
      </c>
      <c r="F12" s="4" t="s">
        <v>6</v>
      </c>
      <c r="G12" s="4" t="s">
        <v>7</v>
      </c>
      <c r="H12" s="4">
        <v>-3.1199999999999999E-2</v>
      </c>
      <c r="I12" s="4">
        <v>15.4</v>
      </c>
      <c r="J12" s="4">
        <v>158</v>
      </c>
      <c r="K12" s="4">
        <v>175</v>
      </c>
      <c r="L12" s="4"/>
    </row>
    <row r="13" spans="1:12">
      <c r="A13" s="4" t="s">
        <v>22</v>
      </c>
      <c r="B13" s="8" t="s">
        <v>55</v>
      </c>
      <c r="C13" s="17" t="s">
        <v>1</v>
      </c>
      <c r="D13" s="4">
        <v>1</v>
      </c>
      <c r="E13" s="4">
        <v>20</v>
      </c>
      <c r="F13" s="4" t="s">
        <v>6</v>
      </c>
      <c r="G13" s="4" t="s">
        <v>7</v>
      </c>
      <c r="H13" s="4">
        <v>5.62E-2</v>
      </c>
      <c r="I13" s="4">
        <v>20.399999999999999</v>
      </c>
      <c r="J13" s="4">
        <v>154</v>
      </c>
      <c r="K13" s="4">
        <v>171</v>
      </c>
      <c r="L13" s="4"/>
    </row>
    <row r="14" spans="1:12">
      <c r="A14" s="4" t="s">
        <v>23</v>
      </c>
      <c r="B14" s="8" t="s">
        <v>55</v>
      </c>
      <c r="C14" s="17" t="s">
        <v>1</v>
      </c>
      <c r="D14" s="4">
        <v>1</v>
      </c>
      <c r="E14" s="4">
        <v>30</v>
      </c>
      <c r="F14" s="4" t="s">
        <v>6</v>
      </c>
      <c r="G14" s="4" t="s">
        <v>7</v>
      </c>
      <c r="H14" s="4">
        <v>0.06</v>
      </c>
      <c r="I14" s="4">
        <v>30.1</v>
      </c>
      <c r="J14" s="4">
        <v>148</v>
      </c>
      <c r="K14" s="4">
        <v>163</v>
      </c>
      <c r="L14" s="4"/>
    </row>
    <row r="15" spans="1:12">
      <c r="A15" s="4" t="s">
        <v>27</v>
      </c>
      <c r="B15" s="9" t="s">
        <v>54</v>
      </c>
      <c r="C15" s="17" t="s">
        <v>1</v>
      </c>
      <c r="D15" s="4">
        <v>1</v>
      </c>
      <c r="E15" s="4">
        <v>15</v>
      </c>
      <c r="F15" s="4" t="s">
        <v>20</v>
      </c>
      <c r="G15" s="4" t="s">
        <v>7</v>
      </c>
      <c r="H15" s="4">
        <v>15.4</v>
      </c>
      <c r="I15" s="4">
        <v>5.4</v>
      </c>
      <c r="J15" s="4">
        <v>158</v>
      </c>
      <c r="K15" s="4">
        <v>174</v>
      </c>
      <c r="L15" s="4"/>
    </row>
    <row r="16" spans="1:12">
      <c r="A16" s="4" t="s">
        <v>28</v>
      </c>
      <c r="B16" s="9" t="s">
        <v>54</v>
      </c>
      <c r="C16" s="17" t="s">
        <v>1</v>
      </c>
      <c r="D16" s="4">
        <v>1</v>
      </c>
      <c r="E16" s="4">
        <v>20</v>
      </c>
      <c r="F16" s="4" t="s">
        <v>20</v>
      </c>
      <c r="G16" s="4" t="s">
        <v>7</v>
      </c>
      <c r="H16" s="4">
        <v>21.3</v>
      </c>
      <c r="I16" s="4">
        <v>8.6</v>
      </c>
      <c r="J16" s="4">
        <v>155</v>
      </c>
      <c r="K16" s="4">
        <v>171</v>
      </c>
      <c r="L16" s="4"/>
    </row>
    <row r="17" spans="1:12">
      <c r="A17" s="4" t="s">
        <v>29</v>
      </c>
      <c r="B17" s="9" t="s">
        <v>54</v>
      </c>
      <c r="C17" s="17" t="s">
        <v>1</v>
      </c>
      <c r="D17" s="4">
        <v>1</v>
      </c>
      <c r="E17" s="4">
        <v>30</v>
      </c>
      <c r="F17" s="4" t="s">
        <v>20</v>
      </c>
      <c r="G17" s="4" t="s">
        <v>7</v>
      </c>
      <c r="H17" s="4">
        <v>31.2</v>
      </c>
      <c r="I17" s="4">
        <v>14.2</v>
      </c>
      <c r="J17" s="4">
        <v>149</v>
      </c>
      <c r="K17" s="4">
        <v>166</v>
      </c>
      <c r="L17" s="4"/>
    </row>
    <row r="18" spans="1:12">
      <c r="A18" s="4" t="s">
        <v>24</v>
      </c>
      <c r="B18" s="10" t="s">
        <v>53</v>
      </c>
      <c r="C18" s="17" t="s">
        <v>1</v>
      </c>
      <c r="D18" s="4">
        <v>1</v>
      </c>
      <c r="E18" s="4">
        <v>15</v>
      </c>
      <c r="F18" s="4" t="s">
        <v>20</v>
      </c>
      <c r="G18" s="4" t="s">
        <v>16</v>
      </c>
      <c r="H18" s="4">
        <v>-7.6999999999999999E-2</v>
      </c>
      <c r="I18" s="4">
        <v>14.5</v>
      </c>
      <c r="J18" s="4">
        <v>159</v>
      </c>
      <c r="K18" s="4">
        <v>173</v>
      </c>
      <c r="L18" s="4"/>
    </row>
    <row r="19" spans="1:12">
      <c r="A19" s="4" t="s">
        <v>25</v>
      </c>
      <c r="B19" s="10" t="s">
        <v>53</v>
      </c>
      <c r="C19" s="17" t="s">
        <v>1</v>
      </c>
      <c r="D19" s="4">
        <v>1</v>
      </c>
      <c r="E19" s="4">
        <v>20</v>
      </c>
      <c r="F19" s="4" t="s">
        <v>20</v>
      </c>
      <c r="G19" s="4" t="s">
        <v>16</v>
      </c>
      <c r="H19" s="4">
        <v>-0.10299999999999999</v>
      </c>
      <c r="I19" s="4">
        <v>19.399999999999999</v>
      </c>
      <c r="J19" s="4">
        <v>158</v>
      </c>
      <c r="K19" s="4">
        <v>175</v>
      </c>
      <c r="L19" s="4"/>
    </row>
    <row r="20" spans="1:12">
      <c r="A20" s="4" t="s">
        <v>26</v>
      </c>
      <c r="B20" s="10" t="s">
        <v>53</v>
      </c>
      <c r="C20" s="17" t="s">
        <v>1</v>
      </c>
      <c r="D20" s="4">
        <v>1</v>
      </c>
      <c r="E20" s="4">
        <v>30</v>
      </c>
      <c r="F20" s="4" t="s">
        <v>20</v>
      </c>
      <c r="G20" s="4" t="s">
        <v>16</v>
      </c>
      <c r="H20" s="4">
        <v>-0.126</v>
      </c>
      <c r="I20" s="4">
        <v>29.4</v>
      </c>
      <c r="J20" s="4">
        <v>150</v>
      </c>
      <c r="K20" s="4">
        <v>160</v>
      </c>
      <c r="L20" s="4"/>
    </row>
    <row r="21" spans="1:12">
      <c r="A21" s="4" t="s">
        <v>31</v>
      </c>
      <c r="B21" s="11" t="s">
        <v>56</v>
      </c>
      <c r="C21" s="17" t="s">
        <v>1</v>
      </c>
      <c r="D21" s="4">
        <v>2</v>
      </c>
      <c r="E21" s="4">
        <v>15</v>
      </c>
      <c r="F21" s="4" t="s">
        <v>6</v>
      </c>
      <c r="G21" s="4" t="s">
        <v>7</v>
      </c>
      <c r="H21" s="4">
        <v>-0.13</v>
      </c>
      <c r="I21" s="4">
        <v>12.6</v>
      </c>
      <c r="J21" s="4">
        <v>153</v>
      </c>
      <c r="K21" s="4">
        <v>171</v>
      </c>
      <c r="L21" s="4"/>
    </row>
    <row r="22" spans="1:12">
      <c r="A22" s="4" t="s">
        <v>32</v>
      </c>
      <c r="B22" s="11" t="s">
        <v>56</v>
      </c>
      <c r="C22" s="17" t="s">
        <v>1</v>
      </c>
      <c r="D22" s="4">
        <v>2</v>
      </c>
      <c r="E22" s="4">
        <v>20</v>
      </c>
      <c r="F22" s="4" t="s">
        <v>6</v>
      </c>
      <c r="G22" s="4" t="s">
        <v>7</v>
      </c>
      <c r="H22" s="4">
        <v>-9.1999999999999998E-2</v>
      </c>
      <c r="I22" s="4">
        <v>17.2</v>
      </c>
      <c r="J22" s="4">
        <v>151</v>
      </c>
      <c r="K22" s="4">
        <v>172</v>
      </c>
      <c r="L22" s="4"/>
    </row>
    <row r="23" spans="1:12">
      <c r="A23" s="4" t="s">
        <v>33</v>
      </c>
      <c r="B23" s="11" t="s">
        <v>56</v>
      </c>
      <c r="C23" s="17" t="s">
        <v>1</v>
      </c>
      <c r="D23" s="4">
        <v>2</v>
      </c>
      <c r="E23" s="4">
        <v>30</v>
      </c>
      <c r="F23" s="4" t="s">
        <v>6</v>
      </c>
      <c r="G23" s="4" t="s">
        <v>7</v>
      </c>
      <c r="H23" s="18">
        <v>-0.122</v>
      </c>
      <c r="I23" s="18">
        <v>27.7</v>
      </c>
      <c r="J23" s="18">
        <v>145</v>
      </c>
      <c r="K23" s="18">
        <v>173</v>
      </c>
      <c r="L23" s="4"/>
    </row>
    <row r="24" spans="1:12">
      <c r="A24" s="4" t="s">
        <v>34</v>
      </c>
      <c r="B24" s="12" t="s">
        <v>57</v>
      </c>
      <c r="C24" s="17" t="s">
        <v>1</v>
      </c>
      <c r="D24" s="4">
        <v>2</v>
      </c>
      <c r="E24" s="4">
        <v>15</v>
      </c>
      <c r="F24" s="4" t="s">
        <v>20</v>
      </c>
      <c r="G24" s="4" t="s">
        <v>7</v>
      </c>
      <c r="H24" s="4">
        <v>14.7</v>
      </c>
      <c r="I24" s="4">
        <v>5.53</v>
      </c>
      <c r="J24" s="4">
        <v>154</v>
      </c>
      <c r="K24" s="4">
        <v>177</v>
      </c>
      <c r="L24" s="4"/>
    </row>
    <row r="25" spans="1:12">
      <c r="A25" s="4" t="s">
        <v>35</v>
      </c>
      <c r="B25" s="12" t="s">
        <v>57</v>
      </c>
      <c r="C25" s="17" t="s">
        <v>1</v>
      </c>
      <c r="D25" s="4">
        <v>2</v>
      </c>
      <c r="E25" s="4">
        <v>20</v>
      </c>
      <c r="F25" s="4" t="s">
        <v>20</v>
      </c>
      <c r="G25" s="4" t="s">
        <v>7</v>
      </c>
      <c r="H25" s="4">
        <v>19.5</v>
      </c>
      <c r="I25" s="4">
        <v>8.14</v>
      </c>
      <c r="J25" s="4">
        <v>152</v>
      </c>
      <c r="K25" s="4">
        <v>175</v>
      </c>
      <c r="L25" s="4"/>
    </row>
    <row r="26" spans="1:12">
      <c r="A26" s="4" t="s">
        <v>36</v>
      </c>
      <c r="B26" s="12" t="s">
        <v>57</v>
      </c>
      <c r="C26" s="17" t="s">
        <v>1</v>
      </c>
      <c r="D26" s="4">
        <v>2</v>
      </c>
      <c r="E26" s="4">
        <v>30</v>
      </c>
      <c r="F26" s="4" t="s">
        <v>20</v>
      </c>
      <c r="G26" s="4" t="s">
        <v>7</v>
      </c>
      <c r="H26" s="4">
        <v>28.1</v>
      </c>
      <c r="I26" s="4">
        <v>13.2</v>
      </c>
      <c r="J26" s="4">
        <v>150</v>
      </c>
      <c r="K26" s="4">
        <v>171</v>
      </c>
      <c r="L26" s="4"/>
    </row>
    <row r="27" spans="1:12">
      <c r="A27" s="4" t="s">
        <v>37</v>
      </c>
      <c r="B27" s="13" t="s">
        <v>58</v>
      </c>
      <c r="C27" s="17" t="s">
        <v>1</v>
      </c>
      <c r="D27" s="4">
        <v>2</v>
      </c>
      <c r="E27" s="4">
        <v>15</v>
      </c>
      <c r="F27" s="4" t="s">
        <v>20</v>
      </c>
      <c r="G27" s="4" t="s">
        <v>16</v>
      </c>
      <c r="H27" s="4">
        <v>-0.11899999999999999</v>
      </c>
      <c r="I27" s="4">
        <v>14.2</v>
      </c>
      <c r="J27" s="4">
        <v>148</v>
      </c>
      <c r="K27" s="4">
        <v>175</v>
      </c>
      <c r="L27" s="4"/>
    </row>
    <row r="28" spans="1:12">
      <c r="A28" s="4" t="s">
        <v>38</v>
      </c>
      <c r="B28" s="13" t="s">
        <v>58</v>
      </c>
      <c r="C28" s="17" t="s">
        <v>1</v>
      </c>
      <c r="D28" s="4">
        <v>2</v>
      </c>
      <c r="E28" s="4">
        <v>20</v>
      </c>
      <c r="F28" s="4" t="s">
        <v>20</v>
      </c>
      <c r="G28" s="4" t="s">
        <v>16</v>
      </c>
      <c r="H28" s="4">
        <v>-0.111</v>
      </c>
      <c r="I28" s="4">
        <v>19.8</v>
      </c>
      <c r="J28" s="4">
        <v>146</v>
      </c>
      <c r="K28" s="4">
        <v>172</v>
      </c>
      <c r="L28" s="4"/>
    </row>
    <row r="29" spans="1:12">
      <c r="A29" s="4" t="s">
        <v>39</v>
      </c>
      <c r="B29" s="13" t="s">
        <v>58</v>
      </c>
      <c r="C29" s="17" t="s">
        <v>1</v>
      </c>
      <c r="D29" s="4">
        <v>2</v>
      </c>
      <c r="E29" s="4">
        <v>30</v>
      </c>
      <c r="F29" s="4" t="s">
        <v>20</v>
      </c>
      <c r="G29" s="4" t="s">
        <v>16</v>
      </c>
      <c r="H29" s="18">
        <v>-0.122</v>
      </c>
      <c r="I29" s="18">
        <v>27.5</v>
      </c>
      <c r="J29" s="18">
        <v>143</v>
      </c>
      <c r="K29" s="18">
        <v>169</v>
      </c>
      <c r="L29" s="4"/>
    </row>
    <row r="30" spans="1:12">
      <c r="A30" s="4" t="s">
        <v>43</v>
      </c>
      <c r="B30" s="14" t="s">
        <v>59</v>
      </c>
      <c r="C30" s="17" t="s">
        <v>1</v>
      </c>
      <c r="D30" s="4">
        <v>2</v>
      </c>
      <c r="E30" s="4">
        <v>15</v>
      </c>
      <c r="F30" s="4" t="s">
        <v>6</v>
      </c>
      <c r="G30" s="4" t="s">
        <v>7</v>
      </c>
      <c r="H30" s="4">
        <v>-0.122</v>
      </c>
      <c r="I30" s="4">
        <v>13.8</v>
      </c>
      <c r="J30" s="4">
        <v>152</v>
      </c>
      <c r="K30" s="4">
        <v>169</v>
      </c>
      <c r="L30" s="4" t="s">
        <v>30</v>
      </c>
    </row>
    <row r="31" spans="1:12">
      <c r="A31" s="4" t="s">
        <v>44</v>
      </c>
      <c r="B31" s="14" t="s">
        <v>59</v>
      </c>
      <c r="C31" s="17" t="s">
        <v>1</v>
      </c>
      <c r="D31" s="4">
        <v>2</v>
      </c>
      <c r="E31" s="4">
        <v>20</v>
      </c>
      <c r="F31" s="4" t="s">
        <v>6</v>
      </c>
      <c r="G31" s="4" t="s">
        <v>7</v>
      </c>
      <c r="H31" s="4">
        <v>-0.122</v>
      </c>
      <c r="I31" s="4">
        <v>18.8</v>
      </c>
      <c r="J31" s="4">
        <v>150</v>
      </c>
      <c r="K31" s="4">
        <v>170</v>
      </c>
      <c r="L31" s="4" t="s">
        <v>30</v>
      </c>
    </row>
    <row r="32" spans="1:12">
      <c r="A32" s="4" t="s">
        <v>45</v>
      </c>
      <c r="B32" s="14" t="s">
        <v>59</v>
      </c>
      <c r="C32" s="17" t="s">
        <v>1</v>
      </c>
      <c r="D32" s="4">
        <v>2</v>
      </c>
      <c r="E32" s="4">
        <v>30</v>
      </c>
      <c r="F32" s="4" t="s">
        <v>6</v>
      </c>
      <c r="G32" s="4" t="s">
        <v>7</v>
      </c>
      <c r="H32" s="4">
        <v>-0.122</v>
      </c>
      <c r="I32" s="4">
        <v>28.6</v>
      </c>
      <c r="J32" s="4">
        <v>143</v>
      </c>
      <c r="K32" s="4">
        <v>170</v>
      </c>
      <c r="L32" s="4" t="s">
        <v>30</v>
      </c>
    </row>
    <row r="33" spans="1:12">
      <c r="A33" s="4" t="s">
        <v>46</v>
      </c>
      <c r="B33" s="15" t="s">
        <v>60</v>
      </c>
      <c r="C33" s="17" t="s">
        <v>1</v>
      </c>
      <c r="D33" s="4">
        <v>2</v>
      </c>
      <c r="E33" s="4">
        <v>15</v>
      </c>
      <c r="F33" s="4" t="s">
        <v>20</v>
      </c>
      <c r="G33" s="4" t="s">
        <v>7</v>
      </c>
      <c r="H33" s="4">
        <v>15.3</v>
      </c>
      <c r="I33" s="4">
        <v>5.86</v>
      </c>
      <c r="J33" s="4">
        <v>153</v>
      </c>
      <c r="K33" s="4">
        <v>176</v>
      </c>
      <c r="L33" s="4" t="s">
        <v>30</v>
      </c>
    </row>
    <row r="34" spans="1:12">
      <c r="A34" s="4" t="s">
        <v>47</v>
      </c>
      <c r="B34" s="15" t="s">
        <v>60</v>
      </c>
      <c r="C34" s="17" t="s">
        <v>1</v>
      </c>
      <c r="D34" s="4">
        <v>2</v>
      </c>
      <c r="E34" s="4">
        <v>20</v>
      </c>
      <c r="F34" s="4" t="s">
        <v>20</v>
      </c>
      <c r="G34" s="4" t="s">
        <v>7</v>
      </c>
      <c r="H34" s="4">
        <v>20.399999999999999</v>
      </c>
      <c r="I34" s="4">
        <v>8.8000000000000007</v>
      </c>
      <c r="J34" s="4">
        <v>155</v>
      </c>
      <c r="K34" s="4">
        <v>173</v>
      </c>
      <c r="L34" s="4" t="s">
        <v>30</v>
      </c>
    </row>
    <row r="35" spans="1:12">
      <c r="A35" s="4" t="s">
        <v>48</v>
      </c>
      <c r="B35" s="15" t="s">
        <v>60</v>
      </c>
      <c r="C35" s="17" t="s">
        <v>1</v>
      </c>
      <c r="D35" s="4">
        <v>2</v>
      </c>
      <c r="E35" s="4">
        <v>30</v>
      </c>
      <c r="F35" s="4" t="s">
        <v>20</v>
      </c>
      <c r="G35" s="4" t="s">
        <v>7</v>
      </c>
      <c r="H35" s="4">
        <v>28.8</v>
      </c>
      <c r="I35" s="4">
        <v>14.1</v>
      </c>
      <c r="J35" s="4">
        <v>148</v>
      </c>
      <c r="K35" s="4">
        <v>169</v>
      </c>
      <c r="L35" s="4" t="s">
        <v>30</v>
      </c>
    </row>
  </sheetData>
  <phoneticPr fontId="2" type="noConversion"/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AE91-719E-6140-A33F-D8F6685EEC6D}">
  <dimension ref="A1:F37"/>
  <sheetViews>
    <sheetView tabSelected="1" zoomScale="75" workbookViewId="0">
      <selection activeCell="F14" sqref="F14"/>
    </sheetView>
  </sheetViews>
  <sheetFormatPr baseColWidth="10" defaultRowHeight="16"/>
  <cols>
    <col min="1" max="2" width="5.7109375" style="44" customWidth="1"/>
    <col min="3" max="6" width="40.7109375" customWidth="1"/>
  </cols>
  <sheetData>
    <row r="1" spans="1:6" ht="20" customHeight="1" thickBot="1">
      <c r="A1" s="45"/>
      <c r="B1" s="33" t="s">
        <v>63</v>
      </c>
      <c r="C1" s="34"/>
      <c r="D1" s="58" t="s">
        <v>0</v>
      </c>
      <c r="E1" s="59" t="s">
        <v>1</v>
      </c>
    </row>
    <row r="2" spans="1:6" ht="20" customHeight="1">
      <c r="A2" s="46" t="s">
        <v>66</v>
      </c>
      <c r="B2" s="31" t="s">
        <v>6</v>
      </c>
      <c r="C2" s="32" t="s">
        <v>8</v>
      </c>
      <c r="D2" s="50" t="s">
        <v>42</v>
      </c>
      <c r="E2" s="51" t="s">
        <v>33</v>
      </c>
    </row>
    <row r="3" spans="1:6" ht="20" customHeight="1">
      <c r="A3" s="47"/>
      <c r="B3" s="22"/>
      <c r="C3" s="27" t="s">
        <v>13</v>
      </c>
      <c r="D3" s="52">
        <v>0.06</v>
      </c>
      <c r="E3" s="53">
        <v>-0.122</v>
      </c>
    </row>
    <row r="4" spans="1:6" ht="20" customHeight="1">
      <c r="A4" s="47"/>
      <c r="B4" s="22"/>
      <c r="C4" s="28" t="s">
        <v>5</v>
      </c>
      <c r="D4" s="52">
        <v>151</v>
      </c>
      <c r="E4" s="53">
        <v>145</v>
      </c>
    </row>
    <row r="5" spans="1:6" ht="20" customHeight="1">
      <c r="A5" s="47"/>
      <c r="B5" s="22"/>
      <c r="C5" s="28" t="s">
        <v>4</v>
      </c>
      <c r="D5" s="52">
        <v>183</v>
      </c>
      <c r="E5" s="53">
        <v>173</v>
      </c>
    </row>
    <row r="6" spans="1:6" ht="20" customHeight="1">
      <c r="A6" s="47"/>
      <c r="B6" s="22"/>
      <c r="C6" s="27" t="s">
        <v>64</v>
      </c>
      <c r="D6" s="52">
        <v>0.11</v>
      </c>
      <c r="E6" s="53">
        <v>0.11</v>
      </c>
    </row>
    <row r="7" spans="1:6" ht="20" customHeight="1">
      <c r="A7" s="47"/>
      <c r="B7" s="22"/>
      <c r="C7" s="27" t="s">
        <v>65</v>
      </c>
      <c r="D7" s="52">
        <f>D3-D6</f>
        <v>-0.05</v>
      </c>
      <c r="E7" s="53">
        <f>E3-E6</f>
        <v>-0.23199999999999998</v>
      </c>
    </row>
    <row r="8" spans="1:6" ht="20" customHeight="1">
      <c r="A8" s="47"/>
      <c r="B8" s="23" t="s">
        <v>20</v>
      </c>
      <c r="C8" s="29" t="s">
        <v>8</v>
      </c>
      <c r="D8" s="54" t="s">
        <v>19</v>
      </c>
      <c r="E8" s="55" t="s">
        <v>39</v>
      </c>
    </row>
    <row r="9" spans="1:6" ht="20" customHeight="1">
      <c r="A9" s="47"/>
      <c r="B9" s="23"/>
      <c r="C9" s="29" t="s">
        <v>13</v>
      </c>
      <c r="D9" s="52">
        <v>0.06</v>
      </c>
      <c r="E9" s="53">
        <v>-0.122</v>
      </c>
    </row>
    <row r="10" spans="1:6" ht="20" customHeight="1">
      <c r="A10" s="47"/>
      <c r="B10" s="23"/>
      <c r="C10" s="30" t="s">
        <v>5</v>
      </c>
      <c r="D10" s="52">
        <v>145</v>
      </c>
      <c r="E10" s="53">
        <v>143</v>
      </c>
    </row>
    <row r="11" spans="1:6" ht="20" customHeight="1">
      <c r="A11" s="47"/>
      <c r="B11" s="23"/>
      <c r="C11" s="30" t="s">
        <v>4</v>
      </c>
      <c r="D11" s="52">
        <v>158</v>
      </c>
      <c r="E11" s="53">
        <v>169</v>
      </c>
    </row>
    <row r="12" spans="1:6" ht="20" customHeight="1">
      <c r="A12" s="47"/>
      <c r="B12" s="23"/>
      <c r="C12" s="29" t="s">
        <v>64</v>
      </c>
      <c r="D12" s="52">
        <v>0.11</v>
      </c>
      <c r="E12" s="53">
        <v>0.11</v>
      </c>
    </row>
    <row r="13" spans="1:6" ht="20" customHeight="1" thickBot="1">
      <c r="A13" s="48"/>
      <c r="B13" s="35"/>
      <c r="C13" s="36" t="s">
        <v>65</v>
      </c>
      <c r="D13" s="56">
        <f>D9-D12</f>
        <v>-0.05</v>
      </c>
      <c r="E13" s="57">
        <f>E9-E12</f>
        <v>-0.23199999999999998</v>
      </c>
    </row>
    <row r="14" spans="1:6" ht="20" customHeight="1" thickBot="1">
      <c r="A14" s="49"/>
      <c r="B14" s="42"/>
      <c r="C14" s="24"/>
      <c r="D14" s="60" t="s">
        <v>0</v>
      </c>
      <c r="E14" s="61" t="s">
        <v>1</v>
      </c>
      <c r="F14" s="78" t="s">
        <v>9</v>
      </c>
    </row>
    <row r="15" spans="1:6" ht="20" customHeight="1">
      <c r="A15" s="37" t="s">
        <v>86</v>
      </c>
      <c r="B15" s="64"/>
      <c r="C15" s="66" t="s">
        <v>92</v>
      </c>
      <c r="D15" s="69" t="s">
        <v>90</v>
      </c>
      <c r="E15" s="65" t="s">
        <v>91</v>
      </c>
      <c r="F15" s="66"/>
    </row>
    <row r="16" spans="1:6" ht="20" customHeight="1">
      <c r="A16" s="38"/>
      <c r="B16" s="21"/>
      <c r="C16" s="73"/>
      <c r="D16" s="70"/>
      <c r="E16" s="62"/>
      <c r="F16" s="67"/>
    </row>
    <row r="17" spans="1:6" ht="20" customHeight="1">
      <c r="A17" s="38"/>
      <c r="B17" s="43" t="s">
        <v>87</v>
      </c>
      <c r="C17" s="74" t="s">
        <v>67</v>
      </c>
      <c r="D17" s="71">
        <f>D4</f>
        <v>151</v>
      </c>
      <c r="E17" s="40">
        <f>E4</f>
        <v>145</v>
      </c>
      <c r="F17" s="25"/>
    </row>
    <row r="18" spans="1:6" ht="20" customHeight="1">
      <c r="A18" s="38"/>
      <c r="B18" s="43"/>
      <c r="C18" s="74" t="s">
        <v>68</v>
      </c>
      <c r="D18" s="71">
        <f>D5</f>
        <v>183</v>
      </c>
      <c r="E18" s="40">
        <f>E5</f>
        <v>173</v>
      </c>
      <c r="F18" s="25"/>
    </row>
    <row r="19" spans="1:6" ht="20" customHeight="1">
      <c r="A19" s="38"/>
      <c r="B19" s="43"/>
      <c r="C19" s="74" t="s">
        <v>69</v>
      </c>
      <c r="D19" s="71">
        <f>D10</f>
        <v>145</v>
      </c>
      <c r="E19" s="40">
        <f>E10</f>
        <v>143</v>
      </c>
      <c r="F19" s="25"/>
    </row>
    <row r="20" spans="1:6" ht="20" customHeight="1">
      <c r="A20" s="38"/>
      <c r="B20" s="43"/>
      <c r="C20" s="74" t="s">
        <v>70</v>
      </c>
      <c r="D20" s="71">
        <f>D11</f>
        <v>158</v>
      </c>
      <c r="E20" s="40">
        <f>E11</f>
        <v>169</v>
      </c>
      <c r="F20" s="25"/>
    </row>
    <row r="21" spans="1:6" ht="20" customHeight="1">
      <c r="A21" s="38"/>
      <c r="B21" s="43"/>
      <c r="C21" s="74" t="s">
        <v>73</v>
      </c>
      <c r="D21" s="71">
        <f>D7</f>
        <v>-0.05</v>
      </c>
      <c r="E21" s="40">
        <f>E7</f>
        <v>-0.23199999999999998</v>
      </c>
      <c r="F21" s="25"/>
    </row>
    <row r="22" spans="1:6" ht="20" customHeight="1">
      <c r="A22" s="38"/>
      <c r="B22" s="20"/>
      <c r="C22" s="75"/>
      <c r="D22" s="71"/>
      <c r="E22" s="40"/>
      <c r="F22" s="25"/>
    </row>
    <row r="23" spans="1:6" ht="20" customHeight="1">
      <c r="A23" s="38"/>
      <c r="B23" s="63" t="s">
        <v>88</v>
      </c>
      <c r="C23" s="76" t="s">
        <v>71</v>
      </c>
      <c r="D23" s="71"/>
      <c r="E23" s="40"/>
      <c r="F23" s="25" t="s">
        <v>82</v>
      </c>
    </row>
    <row r="24" spans="1:6" ht="20" customHeight="1">
      <c r="A24" s="38"/>
      <c r="B24" s="63"/>
      <c r="C24" s="76" t="s">
        <v>72</v>
      </c>
      <c r="D24" s="71">
        <v>0</v>
      </c>
      <c r="E24" s="40">
        <v>0</v>
      </c>
      <c r="F24" s="25"/>
    </row>
    <row r="25" spans="1:6" ht="20" customHeight="1">
      <c r="A25" s="38"/>
      <c r="B25" s="63"/>
      <c r="C25" s="75"/>
      <c r="D25" s="71"/>
      <c r="E25" s="40"/>
      <c r="F25" s="25"/>
    </row>
    <row r="26" spans="1:6" ht="20" customHeight="1">
      <c r="A26" s="38"/>
      <c r="B26" s="63"/>
      <c r="C26" s="76" t="s">
        <v>74</v>
      </c>
      <c r="D26" s="71">
        <v>30</v>
      </c>
      <c r="E26" s="40">
        <v>30</v>
      </c>
      <c r="F26" s="25" t="s">
        <v>83</v>
      </c>
    </row>
    <row r="27" spans="1:6" ht="20" customHeight="1">
      <c r="A27" s="38"/>
      <c r="B27" s="63"/>
      <c r="C27" s="76" t="s">
        <v>75</v>
      </c>
      <c r="D27" s="71">
        <v>30</v>
      </c>
      <c r="E27" s="40">
        <v>30</v>
      </c>
      <c r="F27" s="25" t="s">
        <v>83</v>
      </c>
    </row>
    <row r="28" spans="1:6" ht="20" customHeight="1">
      <c r="A28" s="38"/>
      <c r="B28" s="63"/>
      <c r="C28" s="76" t="s">
        <v>76</v>
      </c>
      <c r="D28" s="71">
        <v>30</v>
      </c>
      <c r="E28" s="40">
        <v>30</v>
      </c>
      <c r="F28" s="25" t="s">
        <v>83</v>
      </c>
    </row>
    <row r="29" spans="1:6" ht="20" customHeight="1">
      <c r="A29" s="38"/>
      <c r="B29" s="63"/>
      <c r="C29" s="75"/>
      <c r="D29" s="71"/>
      <c r="E29" s="40"/>
      <c r="F29" s="25"/>
    </row>
    <row r="30" spans="1:6" ht="20" customHeight="1">
      <c r="A30" s="38"/>
      <c r="B30" s="63"/>
      <c r="C30" s="76" t="s">
        <v>89</v>
      </c>
      <c r="D30" s="71"/>
      <c r="E30" s="40"/>
      <c r="F30" s="25"/>
    </row>
    <row r="31" spans="1:6" ht="20" customHeight="1">
      <c r="A31" s="38"/>
      <c r="B31" s="63"/>
      <c r="C31" s="76" t="s">
        <v>84</v>
      </c>
      <c r="D31" s="71"/>
      <c r="E31" s="40"/>
      <c r="F31" s="25" t="s">
        <v>85</v>
      </c>
    </row>
    <row r="32" spans="1:6" ht="20" customHeight="1">
      <c r="A32" s="38"/>
      <c r="B32" s="63"/>
      <c r="C32" s="76" t="s">
        <v>77</v>
      </c>
      <c r="D32" s="71"/>
      <c r="E32" s="40"/>
      <c r="F32" s="25"/>
    </row>
    <row r="33" spans="1:6" ht="20" customHeight="1">
      <c r="A33" s="38"/>
      <c r="B33" s="63"/>
      <c r="C33" s="76" t="s">
        <v>78</v>
      </c>
      <c r="D33" s="71"/>
      <c r="E33" s="40"/>
      <c r="F33" s="25"/>
    </row>
    <row r="34" spans="1:6" ht="20" customHeight="1">
      <c r="A34" s="38"/>
      <c r="B34" s="63"/>
      <c r="C34" s="76" t="s">
        <v>79</v>
      </c>
      <c r="D34" s="71"/>
      <c r="E34" s="40"/>
      <c r="F34" s="25"/>
    </row>
    <row r="35" spans="1:6" ht="20" customHeight="1">
      <c r="A35" s="38"/>
      <c r="B35" s="63"/>
      <c r="C35" s="75"/>
      <c r="D35" s="71"/>
      <c r="E35" s="40"/>
      <c r="F35" s="25"/>
    </row>
    <row r="36" spans="1:6" ht="20" customHeight="1">
      <c r="A36" s="38"/>
      <c r="B36" s="63"/>
      <c r="C36" s="76" t="s">
        <v>80</v>
      </c>
      <c r="D36" s="71"/>
      <c r="E36" s="40"/>
      <c r="F36" s="25"/>
    </row>
    <row r="37" spans="1:6" ht="20" customHeight="1" thickBot="1">
      <c r="A37" s="39"/>
      <c r="B37" s="68"/>
      <c r="C37" s="77" t="s">
        <v>81</v>
      </c>
      <c r="D37" s="72"/>
      <c r="E37" s="41"/>
      <c r="F37" s="26"/>
    </row>
  </sheetData>
  <mergeCells count="7">
    <mergeCell ref="B8:B13"/>
    <mergeCell ref="A2:A13"/>
    <mergeCell ref="B17:B21"/>
    <mergeCell ref="B23:B37"/>
    <mergeCell ref="A15:A37"/>
    <mergeCell ref="B1:C1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files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Folinus</dc:creator>
  <cp:lastModifiedBy>Charlotte Folinus</cp:lastModifiedBy>
  <dcterms:created xsi:type="dcterms:W3CDTF">2025-12-01T14:11:58Z</dcterms:created>
  <dcterms:modified xsi:type="dcterms:W3CDTF">2025-12-03T14:53:44Z</dcterms:modified>
</cp:coreProperties>
</file>