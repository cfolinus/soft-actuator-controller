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comiskey/Library/CloudStorage/Dropbox-MIT/2023 Soft-soft interfaces (Evan)/06 Actuator testing/02 Summer '24 Setup/01 Hardware/"/>
    </mc:Choice>
  </mc:AlternateContent>
  <xr:revisionPtr revIDLastSave="0" documentId="13_ncr:1_{4AD2F8BB-62DD-F144-85FF-F9280BA791FF}" xr6:coauthVersionLast="47" xr6:coauthVersionMax="47" xr10:uidLastSave="{00000000-0000-0000-0000-000000000000}"/>
  <bookViews>
    <workbookView xWindow="15100" yWindow="760" windowWidth="15140" windowHeight="17080" xr2:uid="{FA5855A5-3010-7241-B1B3-7208A88B7A12}"/>
  </bookViews>
  <sheets>
    <sheet name="TO ORDER" sheetId="4" r:id="rId1"/>
    <sheet name="Actuator Stand BOM" sheetId="1" r:id="rId2"/>
    <sheet name="ElectroPneumatics Box BOM" sheetId="3" r:id="rId3"/>
  </sheets>
  <definedNames>
    <definedName name="_xlnm._FilterDatabase" localSheetId="1" hidden="1">'Actuator Stand BOM'!$A$2:$L$2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J6" i="4"/>
  <c r="J5" i="4"/>
  <c r="J4" i="4"/>
  <c r="K27" i="3"/>
  <c r="J27" i="3"/>
  <c r="K26" i="3"/>
  <c r="J26" i="3"/>
  <c r="J25" i="3"/>
  <c r="K25" i="3"/>
  <c r="J2" i="4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J17" i="3"/>
  <c r="J16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J6" i="3"/>
  <c r="J5" i="3"/>
  <c r="K4" i="3"/>
  <c r="J4" i="3"/>
  <c r="K3" i="3"/>
  <c r="J3" i="3"/>
  <c r="K2" i="3"/>
  <c r="J2" i="3"/>
  <c r="K7" i="1"/>
  <c r="J7" i="1"/>
  <c r="K5" i="1"/>
  <c r="J5" i="1"/>
  <c r="C8" i="1"/>
  <c r="J8" i="1" s="1"/>
  <c r="C4" i="1"/>
  <c r="J4" i="1" s="1"/>
  <c r="K4" i="1"/>
  <c r="J6" i="1"/>
  <c r="K6" i="1"/>
  <c r="K22" i="1"/>
  <c r="J22" i="1"/>
  <c r="K21" i="1"/>
  <c r="J21" i="1"/>
  <c r="K10" i="1"/>
  <c r="K13" i="1"/>
  <c r="K14" i="1"/>
  <c r="K15" i="1"/>
  <c r="K16" i="1"/>
  <c r="K17" i="1"/>
  <c r="K18" i="1"/>
  <c r="K19" i="1"/>
  <c r="K20" i="1"/>
  <c r="K3" i="1"/>
  <c r="K9" i="1"/>
  <c r="K8" i="1"/>
  <c r="J10" i="1"/>
  <c r="J13" i="1"/>
  <c r="J14" i="1"/>
  <c r="J15" i="1"/>
  <c r="J16" i="1"/>
  <c r="J17" i="1"/>
  <c r="J18" i="1"/>
  <c r="J19" i="1"/>
  <c r="J20" i="1"/>
  <c r="J3" i="1"/>
  <c r="J9" i="1"/>
</calcChain>
</file>

<file path=xl/sharedStrings.xml><?xml version="1.0" encoding="utf-8"?>
<sst xmlns="http://schemas.openxmlformats.org/spreadsheetml/2006/main" count="357" uniqueCount="138">
  <si>
    <t>Part type</t>
  </si>
  <si>
    <t>Category</t>
  </si>
  <si>
    <t>Quantity</t>
  </si>
  <si>
    <t>Supplier</t>
  </si>
  <si>
    <t>Part number</t>
  </si>
  <si>
    <t>Total cost [$]</t>
  </si>
  <si>
    <t>Notes</t>
  </si>
  <si>
    <t>Electronics</t>
  </si>
  <si>
    <t>Flyback diode: need 1A with at least 24V safety</t>
  </si>
  <si>
    <t>Need 1x solenoid, or 2x channel</t>
  </si>
  <si>
    <t>Digikey</t>
  </si>
  <si>
    <t>1N4001DICT-ND</t>
  </si>
  <si>
    <t>Cost per unit, approximate [$]</t>
  </si>
  <si>
    <t>Pressure sensor: need 50(?) psi on 5V</t>
  </si>
  <si>
    <t>480-6637-ND</t>
  </si>
  <si>
    <t>Resistors</t>
  </si>
  <si>
    <t>SD card reader</t>
  </si>
  <si>
    <t>MOSFETs, N-type</t>
  </si>
  <si>
    <t>IRLB8721PBF</t>
  </si>
  <si>
    <t>Part status</t>
  </si>
  <si>
    <t>Leadtime</t>
  </si>
  <si>
    <t>Ships immediately</t>
  </si>
  <si>
    <t>Have in lab</t>
  </si>
  <si>
    <t>N/A</t>
  </si>
  <si>
    <t>1050-ABX00080-ND</t>
  </si>
  <si>
    <t>May replace in future versions</t>
  </si>
  <si>
    <t>AC-DC Converter: 24V, Barrel Jack</t>
  </si>
  <si>
    <t>Hardware</t>
  </si>
  <si>
    <t>T-slot, 20mm profile, 80mm long</t>
  </si>
  <si>
    <t>To be machined</t>
  </si>
  <si>
    <t>CUSTOM</t>
  </si>
  <si>
    <t>McMaster</t>
  </si>
  <si>
    <t>5537T14</t>
  </si>
  <si>
    <t>gusset, M5</t>
  </si>
  <si>
    <t>Pneumatics</t>
  </si>
  <si>
    <t>Regulator</t>
  </si>
  <si>
    <t>On/Off Valve</t>
  </si>
  <si>
    <t>Pressure Gauge</t>
  </si>
  <si>
    <t>EFB-1DV-24-L</t>
  </si>
  <si>
    <t>Breadboard/Solderboard</t>
  </si>
  <si>
    <t>Hold off for now - have 2 in lab</t>
  </si>
  <si>
    <t>Amazon</t>
  </si>
  <si>
    <t xml:space="preserve">
Need 1x microcontroller
Any SD card reader will do</t>
  </si>
  <si>
    <t>Solenoids: 2-2 NC fill-bleed circuit</t>
  </si>
  <si>
    <t>Clippard</t>
  </si>
  <si>
    <t>Quantity to order</t>
  </si>
  <si>
    <t>Any will do that can take ≥24V</t>
  </si>
  <si>
    <t>Order cost [$]</t>
  </si>
  <si>
    <t>Right-Angle Tee, for 1/4" Tube OD x 1/4" Stem OD</t>
  </si>
  <si>
    <t>https://a.co/d/0gOuDZar</t>
  </si>
  <si>
    <t>Order placed</t>
  </si>
  <si>
    <t xml:space="preserve">5537T651	</t>
  </si>
  <si>
    <t>90128A236</t>
  </si>
  <si>
    <t>N/A (have in lab)</t>
  </si>
  <si>
    <t>N/A (to print)</t>
  </si>
  <si>
    <t>N/A (to fabricate)</t>
  </si>
  <si>
    <t>Hold off for now - can add later</t>
  </si>
  <si>
    <t>Arduino Nano</t>
  </si>
  <si>
    <t>T-Nut, M5</t>
  </si>
  <si>
    <t>Screw, M5x12mm</t>
  </si>
  <si>
    <t>End Cap, 20 mm profile</t>
  </si>
  <si>
    <t>Nylon Tubing, 1/4" OD, (Quantity in ft.)</t>
  </si>
  <si>
    <t>Female Barrel Jack</t>
  </si>
  <si>
    <t>Male Barrel Jack</t>
  </si>
  <si>
    <t>For Plug in</t>
  </si>
  <si>
    <t>To go in Electrical housing on stand</t>
  </si>
  <si>
    <t>Accepts 0.19" male barb</t>
  </si>
  <si>
    <t>Need 2x per solenoid</t>
  </si>
  <si>
    <t>16x2 I2C LCD Screen</t>
  </si>
  <si>
    <t>Toggle switch</t>
  </si>
  <si>
    <t>Buck Converter, 24 V -&gt; 7.5 V Capability</t>
  </si>
  <si>
    <t>Perfboard</t>
  </si>
  <si>
    <t>elbow bracket, M5-to-M6 (OPTIONAL)</t>
  </si>
  <si>
    <r>
      <t xml:space="preserve">Front Viewing Panel, </t>
    </r>
    <r>
      <rPr>
        <b/>
        <sz val="12"/>
        <color theme="1"/>
        <rFont val="ArialMT"/>
      </rPr>
      <t xml:space="preserve">5mm </t>
    </r>
    <r>
      <rPr>
        <sz val="12"/>
        <color theme="1"/>
        <rFont val="ArialMT"/>
        <family val="2"/>
      </rPr>
      <t>Clear Acrylic</t>
    </r>
  </si>
  <si>
    <r>
      <t xml:space="preserve">Right Viewing Panel, </t>
    </r>
    <r>
      <rPr>
        <b/>
        <sz val="12"/>
        <color theme="1"/>
        <rFont val="ArialMT"/>
      </rPr>
      <t>5mm</t>
    </r>
    <r>
      <rPr>
        <sz val="12"/>
        <color theme="1"/>
        <rFont val="ArialMT"/>
        <family val="2"/>
      </rPr>
      <t xml:space="preserve"> Clear Acrylic</t>
    </r>
  </si>
  <si>
    <r>
      <t xml:space="preserve">Left Mounting panel, </t>
    </r>
    <r>
      <rPr>
        <b/>
        <sz val="12"/>
        <color theme="1"/>
        <rFont val="ArialMT"/>
      </rPr>
      <t>5mm</t>
    </r>
    <r>
      <rPr>
        <sz val="12"/>
        <color theme="1"/>
        <rFont val="ArialMT"/>
        <family val="2"/>
      </rPr>
      <t xml:space="preserve"> White Acrylic</t>
    </r>
  </si>
  <si>
    <r>
      <t xml:space="preserve">Back Electronics panel, </t>
    </r>
    <r>
      <rPr>
        <b/>
        <sz val="12"/>
        <color theme="1"/>
        <rFont val="ArialMT"/>
      </rPr>
      <t>5mm</t>
    </r>
    <r>
      <rPr>
        <sz val="12"/>
        <color theme="1"/>
        <rFont val="ArialMT"/>
        <family val="2"/>
      </rPr>
      <t xml:space="preserve"> White Acrylic</t>
    </r>
  </si>
  <si>
    <r>
      <t xml:space="preserve">Top Mounting panel, </t>
    </r>
    <r>
      <rPr>
        <b/>
        <sz val="12"/>
        <color theme="1"/>
        <rFont val="ArialMT"/>
      </rPr>
      <t>5mm</t>
    </r>
    <r>
      <rPr>
        <sz val="12"/>
        <color theme="1"/>
        <rFont val="ArialMT"/>
        <family val="2"/>
      </rPr>
      <t xml:space="preserve"> White Acrylic</t>
    </r>
  </si>
  <si>
    <t>LCD Mount</t>
  </si>
  <si>
    <t>Start/Stop Button Mount</t>
  </si>
  <si>
    <t>Screw, M5x10mm</t>
  </si>
  <si>
    <t>Screw, M6x8mm (OPTIONAL)</t>
  </si>
  <si>
    <t>If swap to 3mm panels, knock M5x10mm down to M5x8mm</t>
  </si>
  <si>
    <t>Screw, M5x8mm (OPTIONAL)</t>
  </si>
  <si>
    <t>For optical table mounting</t>
  </si>
  <si>
    <t>Nut, M5</t>
  </si>
  <si>
    <t>51525K123</t>
  </si>
  <si>
    <t>Plug Coupling, for 1/8" Barbed Tube ID, Nylon</t>
  </si>
  <si>
    <t>PRT-12070</t>
  </si>
  <si>
    <t>DFR0379</t>
  </si>
  <si>
    <t>CN0295D</t>
  </si>
  <si>
    <t>Stop Button</t>
  </si>
  <si>
    <t>D6R40 F2 LFS</t>
  </si>
  <si>
    <t>D6R50 F2 LFS</t>
  </si>
  <si>
    <t>Button, Green</t>
  </si>
  <si>
    <t>Button, Red</t>
  </si>
  <si>
    <t>Start Button, HOW TO MOUNT?</t>
  </si>
  <si>
    <t>A135</t>
  </si>
  <si>
    <t>90128A234</t>
  </si>
  <si>
    <t>90128A232</t>
  </si>
  <si>
    <t>90591A260</t>
  </si>
  <si>
    <t>5047K92</t>
  </si>
  <si>
    <t>How to mount?</t>
  </si>
  <si>
    <t>å</t>
  </si>
  <si>
    <t>T-slot, 20mm profile, 230mm long</t>
  </si>
  <si>
    <t>T-slot, 20mm profile, 160mm long</t>
  </si>
  <si>
    <t>T-slot, 20mm profile, 200mm long</t>
  </si>
  <si>
    <t>Bottom lengthwise rails</t>
  </si>
  <si>
    <t>Top lengthwise rails</t>
  </si>
  <si>
    <t>Vertical rails</t>
  </si>
  <si>
    <t>Width rails</t>
  </si>
  <si>
    <t>Fabricated</t>
  </si>
  <si>
    <t>Printed</t>
  </si>
  <si>
    <t>Standoffs, M3-0.5, 8mm</t>
  </si>
  <si>
    <t>94868A164</t>
  </si>
  <si>
    <t>Buck Converter Mounting</t>
  </si>
  <si>
    <t>Bumper, M6-1, 18mm</t>
  </si>
  <si>
    <t>3810N126</t>
  </si>
  <si>
    <t>Platform Feet</t>
  </si>
  <si>
    <t>94868A767</t>
  </si>
  <si>
    <t>Standoffs, M5-0.8, 50mm</t>
  </si>
  <si>
    <t>Second Platform Mounting Standoffs</t>
  </si>
  <si>
    <t>A nice to have for finish. Not necessarily required</t>
  </si>
  <si>
    <t>Buck Converter &amp; LCD Screen Mounting Standoffs</t>
  </si>
  <si>
    <t>Standoffs, M5x0.8, 50mm</t>
  </si>
  <si>
    <t>Standoffs, M3x0.5, 15mm</t>
  </si>
  <si>
    <t>Bumper, M6x1, 18mm</t>
  </si>
  <si>
    <t>Solderboard standoff</t>
  </si>
  <si>
    <t>Pkg</t>
  </si>
  <si>
    <t>90128A178</t>
  </si>
  <si>
    <t>Mounting Screws</t>
  </si>
  <si>
    <t>Socket Head Screws, 6mm</t>
  </si>
  <si>
    <t>https://www.amazon.com/Momentary-Button-Switch-Assorted-Self-Resetting/dp/B08SKJ6V7Z/ref=sxin_16_pa_sp_search_thematic_sspa?content-id=amzn1.sym.76d54fcc-2362-404d-ab9b-b0653e2b2239%3Aamzn1.sym.76d54fcc-2362-404d-ab9b-b0653e2b2239&amp;crid=23KANBLLLK4CW&amp;cv_ct_cx=momentary+push+button+switch&amp;dib=eyJ2IjoiMSJ9.TNuWQ6Uww4rY3kbS-y7Eb8my0iHRMFpSOmQ1tL8Jc8HJYRLJjmPhmflrTZ6vTWUJrFSpGku6m_xJzryEZhhTgQ.5v5Gaz_jLB68j6kuGw7Htyh7a1qSmcVcLOtCkPSm_4w&amp;dib_tag=se&amp;keywords=momentary+push+button+switch&amp;pd_rd_i=B08SKJ6V7Z&amp;pd_rd_r=b7a8cbbb-feba-4173-b670-bd6ba95a7452&amp;pd_rd_w=IjFFs&amp;pd_rd_wg=bmu1m&amp;pf_rd_p=76d54fcc-2362-404d-ab9b-b0653e2b2239&amp;pf_rd_r=6800A6CMWZHPSQQJWH9H&amp;qid=1730482257&amp;sbo=RZvfv%2F%2FHxDF%2BO5021pAnSA%3D%3D&amp;sprefix=momentary+push+button+switch%2Caps%2C113&amp;sr=1-3-6024b2a3-78e4-4fed-8fed-e1613be3bcce-spons&amp;sp_csd=d2lkZ2V0TmFtZT1zcF9zZWFyY2hfdGhlbWF0aWM&amp;psc=1</t>
  </si>
  <si>
    <t>24 Pack of Momentary Switch Buttons</t>
  </si>
  <si>
    <t>95947A511</t>
  </si>
  <si>
    <t>95947A565</t>
  </si>
  <si>
    <t>93355A510</t>
  </si>
  <si>
    <t>Standoffs, M2x0.4, 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</si>
</sst>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rialMT"/>
      <family val="2"/>
    </font>
    <font>
      <b/>
      <sz val="15"/>
      <color theme="1"/>
      <name val="ArialMT"/>
    </font>
    <font>
      <sz val="12"/>
      <color rgb="FF444444"/>
      <name val="Arial"/>
      <family val="2"/>
    </font>
    <font>
      <sz val="12"/>
      <color rgb="FF000000"/>
      <name val="ArialMT"/>
      <family val="2"/>
    </font>
    <font>
      <u/>
      <sz val="12"/>
      <color theme="10"/>
      <name val="ArialMT"/>
      <family val="2"/>
    </font>
    <font>
      <sz val="12"/>
      <color rgb="FF333333"/>
      <name val="Arial"/>
      <family val="2"/>
    </font>
    <font>
      <b/>
      <sz val="12"/>
      <color theme="1"/>
      <name val="ArialMT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2" fontId="0" fillId="0" borderId="0" xfId="0" applyNumberFormat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4" fillId="0" borderId="0" xfId="1" applyFill="1"/>
    <xf numFmtId="0" fontId="3" fillId="7" borderId="0" xfId="0" applyFont="1" applyFill="1"/>
    <xf numFmtId="0" fontId="1" fillId="3" borderId="0" xfId="0" applyFont="1" applyFill="1" applyAlignment="1">
      <alignment wrapText="1"/>
    </xf>
    <xf numFmtId="2" fontId="0" fillId="3" borderId="0" xfId="0" applyNumberFormat="1" applyFill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FC78-3925-CB4E-A06C-56A22C3BC473}">
  <dimension ref="A1:K8"/>
  <sheetViews>
    <sheetView tabSelected="1" topLeftCell="B1" workbookViewId="0">
      <selection activeCell="G15" sqref="G15"/>
    </sheetView>
  </sheetViews>
  <sheetFormatPr baseColWidth="10" defaultRowHeight="16"/>
  <cols>
    <col min="2" max="2" width="38.140625" bestFit="1" customWidth="1"/>
    <col min="3" max="3" width="9.5703125" bestFit="1" customWidth="1"/>
    <col min="6" max="6" width="21" bestFit="1" customWidth="1"/>
    <col min="7" max="7" width="14.42578125" customWidth="1"/>
    <col min="8" max="8" width="63" bestFit="1" customWidth="1"/>
    <col min="9" max="9" width="15.28515625" customWidth="1"/>
    <col min="10" max="10" width="14" bestFit="1" customWidth="1"/>
    <col min="11" max="11" width="13.140625" bestFit="1" customWidth="1"/>
  </cols>
  <sheetData>
    <row r="1" spans="1:11" s="1" customFormat="1" ht="71" customHeight="1">
      <c r="A1" s="2" t="s">
        <v>1</v>
      </c>
      <c r="B1" s="2" t="s">
        <v>0</v>
      </c>
      <c r="C1" s="2" t="s">
        <v>2</v>
      </c>
      <c r="D1" s="13" t="s">
        <v>45</v>
      </c>
      <c r="E1" s="2" t="s">
        <v>3</v>
      </c>
      <c r="F1" s="2" t="s">
        <v>4</v>
      </c>
      <c r="G1" s="2" t="s">
        <v>20</v>
      </c>
      <c r="H1" s="2" t="s">
        <v>6</v>
      </c>
      <c r="I1" s="2" t="s">
        <v>12</v>
      </c>
      <c r="J1" s="13" t="s">
        <v>5</v>
      </c>
      <c r="K1" s="2" t="s">
        <v>19</v>
      </c>
    </row>
    <row r="2" spans="1:11">
      <c r="A2" s="8" t="s">
        <v>27</v>
      </c>
      <c r="B2" t="s">
        <v>60</v>
      </c>
      <c r="C2">
        <v>8</v>
      </c>
      <c r="D2" s="4">
        <v>8</v>
      </c>
      <c r="E2" s="6" t="s">
        <v>31</v>
      </c>
      <c r="F2" t="s">
        <v>32</v>
      </c>
      <c r="G2" s="6" t="s">
        <v>21</v>
      </c>
      <c r="H2" t="s">
        <v>122</v>
      </c>
      <c r="I2" s="6">
        <v>1.2</v>
      </c>
      <c r="J2" s="14">
        <f>I2*C2</f>
        <v>9.6</v>
      </c>
      <c r="K2" s="6"/>
    </row>
    <row r="3" spans="1:11">
      <c r="A3" s="7" t="s">
        <v>7</v>
      </c>
      <c r="B3" t="s">
        <v>133</v>
      </c>
      <c r="C3" t="s">
        <v>128</v>
      </c>
      <c r="D3" s="4">
        <v>1</v>
      </c>
      <c r="E3" t="s">
        <v>41</v>
      </c>
      <c r="F3" t="s">
        <v>132</v>
      </c>
      <c r="G3" t="s">
        <v>21</v>
      </c>
      <c r="I3">
        <v>11.49</v>
      </c>
      <c r="J3" s="14">
        <v>11.49</v>
      </c>
    </row>
    <row r="4" spans="1:11">
      <c r="A4" s="8" t="s">
        <v>27</v>
      </c>
      <c r="B4" t="s">
        <v>125</v>
      </c>
      <c r="C4">
        <v>8</v>
      </c>
      <c r="D4" s="4">
        <v>8</v>
      </c>
      <c r="E4" s="6" t="s">
        <v>31</v>
      </c>
      <c r="F4" s="6" t="s">
        <v>134</v>
      </c>
      <c r="G4" s="6" t="s">
        <v>21</v>
      </c>
      <c r="H4" s="6" t="s">
        <v>123</v>
      </c>
      <c r="I4" s="6">
        <v>1.47</v>
      </c>
      <c r="J4" s="14">
        <f>I4*C4</f>
        <v>11.76</v>
      </c>
    </row>
    <row r="5" spans="1:11">
      <c r="A5" s="8" t="s">
        <v>27</v>
      </c>
      <c r="B5" t="s">
        <v>124</v>
      </c>
      <c r="C5">
        <v>6</v>
      </c>
      <c r="D5" s="4">
        <v>6</v>
      </c>
      <c r="E5" s="6" t="s">
        <v>31</v>
      </c>
      <c r="F5" s="6" t="s">
        <v>135</v>
      </c>
      <c r="G5" s="6" t="s">
        <v>21</v>
      </c>
      <c r="H5" s="6" t="s">
        <v>121</v>
      </c>
      <c r="I5" s="6">
        <v>1.99</v>
      </c>
      <c r="J5" s="14">
        <f>I5*C5</f>
        <v>11.94</v>
      </c>
    </row>
    <row r="6" spans="1:11">
      <c r="A6" s="8" t="s">
        <v>27</v>
      </c>
      <c r="B6" t="s">
        <v>126</v>
      </c>
      <c r="C6">
        <v>4</v>
      </c>
      <c r="D6" s="4">
        <v>4</v>
      </c>
      <c r="E6" s="6" t="s">
        <v>31</v>
      </c>
      <c r="F6" s="6" t="s">
        <v>117</v>
      </c>
      <c r="G6" s="6" t="s">
        <v>21</v>
      </c>
      <c r="H6" s="6" t="s">
        <v>118</v>
      </c>
      <c r="I6" s="6">
        <v>3.33</v>
      </c>
      <c r="J6" s="14">
        <f>I6*C6</f>
        <v>13.32</v>
      </c>
    </row>
    <row r="7" spans="1:11">
      <c r="A7" s="8" t="s">
        <v>27</v>
      </c>
      <c r="B7" t="s">
        <v>137</v>
      </c>
      <c r="C7">
        <v>8</v>
      </c>
      <c r="D7" s="4">
        <v>8</v>
      </c>
      <c r="E7" s="6" t="s">
        <v>31</v>
      </c>
      <c r="F7" t="s">
        <v>136</v>
      </c>
      <c r="G7" s="6" t="s">
        <v>21</v>
      </c>
      <c r="H7" s="6" t="s">
        <v>127</v>
      </c>
      <c r="I7" s="6">
        <v>3.66</v>
      </c>
      <c r="J7" s="14">
        <f>I7*C7</f>
        <v>29.28</v>
      </c>
    </row>
    <row r="8" spans="1:11">
      <c r="A8" s="8" t="s">
        <v>27</v>
      </c>
      <c r="B8" t="s">
        <v>131</v>
      </c>
      <c r="C8" t="s">
        <v>128</v>
      </c>
      <c r="D8" s="4">
        <v>1</v>
      </c>
      <c r="E8" s="6" t="s">
        <v>31</v>
      </c>
      <c r="F8" s="6" t="s">
        <v>129</v>
      </c>
      <c r="G8" s="6" t="s">
        <v>21</v>
      </c>
      <c r="H8" s="6" t="s">
        <v>130</v>
      </c>
      <c r="I8" s="6">
        <v>15.68</v>
      </c>
      <c r="J8" s="15">
        <v>15.68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D1FD-22B4-BC48-B227-3781614AC406}">
  <dimension ref="A2:L22"/>
  <sheetViews>
    <sheetView zoomScaleNormal="100" workbookViewId="0">
      <pane xSplit="2" topLeftCell="C1" activePane="topRight" state="frozen"/>
      <selection pane="topRight" activeCell="A23" sqref="A23:XFD23"/>
    </sheetView>
  </sheetViews>
  <sheetFormatPr baseColWidth="10" defaultRowHeight="16"/>
  <cols>
    <col min="2" max="2" width="38.140625" bestFit="1" customWidth="1"/>
    <col min="3" max="3" width="9.5703125" bestFit="1" customWidth="1"/>
    <col min="5" max="5" width="15.7109375" customWidth="1"/>
    <col min="6" max="6" width="21" bestFit="1" customWidth="1"/>
    <col min="7" max="7" width="15.7109375" customWidth="1"/>
    <col min="8" max="8" width="63" bestFit="1" customWidth="1"/>
    <col min="9" max="9" width="15.28515625" customWidth="1"/>
    <col min="10" max="10" width="14" bestFit="1" customWidth="1"/>
    <col min="11" max="11" width="14" customWidth="1"/>
    <col min="12" max="12" width="13.140625" bestFit="1" customWidth="1"/>
  </cols>
  <sheetData>
    <row r="2" spans="1:12" s="1" customFormat="1" ht="71" customHeight="1">
      <c r="A2" s="2" t="s">
        <v>1</v>
      </c>
      <c r="B2" s="2" t="s">
        <v>0</v>
      </c>
      <c r="C2" s="2" t="s">
        <v>2</v>
      </c>
      <c r="D2" s="2" t="s">
        <v>45</v>
      </c>
      <c r="E2" s="2" t="s">
        <v>3</v>
      </c>
      <c r="F2" s="2" t="s">
        <v>4</v>
      </c>
      <c r="G2" s="2" t="s">
        <v>20</v>
      </c>
      <c r="H2" s="2" t="s">
        <v>6</v>
      </c>
      <c r="I2" s="2" t="s">
        <v>12</v>
      </c>
      <c r="J2" s="2" t="s">
        <v>5</v>
      </c>
      <c r="K2" s="2" t="s">
        <v>47</v>
      </c>
      <c r="L2" s="2" t="s">
        <v>19</v>
      </c>
    </row>
    <row r="3" spans="1:12">
      <c r="A3" s="8" t="s">
        <v>27</v>
      </c>
      <c r="B3" t="s">
        <v>60</v>
      </c>
      <c r="C3">
        <v>8</v>
      </c>
      <c r="E3" s="6" t="s">
        <v>31</v>
      </c>
      <c r="F3" t="s">
        <v>32</v>
      </c>
      <c r="G3" s="6" t="s">
        <v>21</v>
      </c>
      <c r="I3" s="6">
        <v>1.2</v>
      </c>
      <c r="J3" s="3">
        <f t="shared" ref="J3:J10" si="0">I3*C3</f>
        <v>9.6</v>
      </c>
      <c r="K3" s="3">
        <f t="shared" ref="K3:K10" si="1">I3*D3</f>
        <v>0</v>
      </c>
      <c r="L3" s="6" t="s">
        <v>56</v>
      </c>
    </row>
    <row r="4" spans="1:12">
      <c r="A4" s="8" t="s">
        <v>27</v>
      </c>
      <c r="B4" t="s">
        <v>59</v>
      </c>
      <c r="C4">
        <f>16*2</f>
        <v>32</v>
      </c>
      <c r="E4" s="12" t="s">
        <v>31</v>
      </c>
      <c r="F4" s="6" t="s">
        <v>52</v>
      </c>
      <c r="G4" s="6" t="s">
        <v>21</v>
      </c>
      <c r="H4" s="6"/>
      <c r="I4" s="6">
        <v>9.5500000000000007</v>
      </c>
      <c r="J4" s="3">
        <f t="shared" si="0"/>
        <v>305.60000000000002</v>
      </c>
      <c r="K4" s="3">
        <f t="shared" si="1"/>
        <v>0</v>
      </c>
      <c r="L4" t="s">
        <v>50</v>
      </c>
    </row>
    <row r="5" spans="1:12">
      <c r="A5" s="8" t="s">
        <v>27</v>
      </c>
      <c r="B5" t="s">
        <v>80</v>
      </c>
      <c r="C5">
        <v>36</v>
      </c>
      <c r="E5" s="12" t="s">
        <v>31</v>
      </c>
      <c r="F5" s="6" t="s">
        <v>98</v>
      </c>
      <c r="G5" s="6" t="s">
        <v>21</v>
      </c>
      <c r="H5" s="6"/>
      <c r="I5" s="6"/>
      <c r="J5" s="3">
        <f t="shared" si="0"/>
        <v>0</v>
      </c>
      <c r="K5" s="3">
        <f t="shared" si="1"/>
        <v>0</v>
      </c>
      <c r="L5" t="s">
        <v>50</v>
      </c>
    </row>
    <row r="6" spans="1:12">
      <c r="A6" s="8" t="s">
        <v>27</v>
      </c>
      <c r="B6" t="s">
        <v>83</v>
      </c>
      <c r="C6">
        <v>4</v>
      </c>
      <c r="E6" s="12" t="s">
        <v>31</v>
      </c>
      <c r="F6" s="6" t="s">
        <v>99</v>
      </c>
      <c r="G6" s="6" t="s">
        <v>21</v>
      </c>
      <c r="H6" s="6" t="s">
        <v>84</v>
      </c>
      <c r="I6" s="6"/>
      <c r="J6" s="3">
        <f t="shared" si="0"/>
        <v>0</v>
      </c>
      <c r="K6" s="3">
        <f t="shared" si="1"/>
        <v>0</v>
      </c>
      <c r="L6" t="s">
        <v>50</v>
      </c>
    </row>
    <row r="7" spans="1:12">
      <c r="A7" s="8" t="s">
        <v>27</v>
      </c>
      <c r="B7" t="s">
        <v>85</v>
      </c>
      <c r="C7">
        <v>16</v>
      </c>
      <c r="E7" s="12" t="s">
        <v>31</v>
      </c>
      <c r="F7" s="6" t="s">
        <v>100</v>
      </c>
      <c r="G7" s="6" t="s">
        <v>21</v>
      </c>
      <c r="H7" s="6"/>
      <c r="I7" s="6">
        <v>0</v>
      </c>
      <c r="J7" s="3">
        <f t="shared" si="0"/>
        <v>0</v>
      </c>
      <c r="K7" s="3">
        <f t="shared" si="1"/>
        <v>0</v>
      </c>
      <c r="L7" s="6" t="s">
        <v>22</v>
      </c>
    </row>
    <row r="8" spans="1:12">
      <c r="A8" s="8" t="s">
        <v>27</v>
      </c>
      <c r="B8" t="s">
        <v>58</v>
      </c>
      <c r="C8">
        <f>32+16+4</f>
        <v>52</v>
      </c>
      <c r="E8" s="12" t="s">
        <v>31</v>
      </c>
      <c r="F8" s="6" t="s">
        <v>51</v>
      </c>
      <c r="G8" s="6" t="s">
        <v>21</v>
      </c>
      <c r="H8" s="6"/>
      <c r="I8" s="6">
        <v>0</v>
      </c>
      <c r="J8" s="3">
        <f t="shared" si="0"/>
        <v>0</v>
      </c>
      <c r="K8" s="3">
        <f t="shared" si="1"/>
        <v>0</v>
      </c>
      <c r="L8" s="6" t="s">
        <v>22</v>
      </c>
    </row>
    <row r="9" spans="1:12">
      <c r="A9" s="8" t="s">
        <v>27</v>
      </c>
      <c r="B9" t="s">
        <v>81</v>
      </c>
      <c r="C9">
        <v>4</v>
      </c>
      <c r="E9" s="12" t="s">
        <v>53</v>
      </c>
      <c r="F9" s="6" t="s">
        <v>23</v>
      </c>
      <c r="G9" s="6" t="s">
        <v>22</v>
      </c>
      <c r="H9" s="6" t="s">
        <v>84</v>
      </c>
      <c r="I9" s="6">
        <v>0</v>
      </c>
      <c r="J9" s="3">
        <f t="shared" si="0"/>
        <v>0</v>
      </c>
      <c r="K9" s="3">
        <f t="shared" si="1"/>
        <v>0</v>
      </c>
      <c r="L9" s="6" t="s">
        <v>22</v>
      </c>
    </row>
    <row r="10" spans="1:12">
      <c r="A10" s="8" t="s">
        <v>27</v>
      </c>
      <c r="B10" t="s">
        <v>104</v>
      </c>
      <c r="C10">
        <v>4</v>
      </c>
      <c r="E10" s="12" t="s">
        <v>111</v>
      </c>
      <c r="F10" s="6" t="s">
        <v>30</v>
      </c>
      <c r="G10" s="6" t="s">
        <v>23</v>
      </c>
      <c r="H10" s="6" t="s">
        <v>109</v>
      </c>
      <c r="I10" s="6">
        <v>0</v>
      </c>
      <c r="J10" s="3">
        <f t="shared" si="0"/>
        <v>0</v>
      </c>
      <c r="K10" s="3">
        <f t="shared" si="1"/>
        <v>0</v>
      </c>
      <c r="L10" s="6" t="s">
        <v>29</v>
      </c>
    </row>
    <row r="11" spans="1:12">
      <c r="A11" s="8" t="s">
        <v>27</v>
      </c>
      <c r="B11" t="s">
        <v>105</v>
      </c>
      <c r="C11">
        <v>2</v>
      </c>
      <c r="E11" s="12" t="s">
        <v>111</v>
      </c>
      <c r="F11" s="6" t="s">
        <v>30</v>
      </c>
      <c r="G11" s="6" t="s">
        <v>23</v>
      </c>
      <c r="H11" s="6" t="s">
        <v>108</v>
      </c>
      <c r="I11" s="6"/>
      <c r="J11" s="3"/>
      <c r="K11" s="3"/>
      <c r="L11" s="6"/>
    </row>
    <row r="12" spans="1:12">
      <c r="A12" s="8" t="s">
        <v>27</v>
      </c>
      <c r="B12" t="s">
        <v>106</v>
      </c>
      <c r="C12">
        <v>2</v>
      </c>
      <c r="E12" s="12" t="s">
        <v>111</v>
      </c>
      <c r="F12" s="6" t="s">
        <v>30</v>
      </c>
      <c r="G12" s="6" t="s">
        <v>23</v>
      </c>
      <c r="H12" s="6" t="s">
        <v>107</v>
      </c>
      <c r="I12" s="6"/>
      <c r="J12" s="3"/>
      <c r="K12" s="3"/>
      <c r="L12" s="6"/>
    </row>
    <row r="13" spans="1:12">
      <c r="A13" s="8" t="s">
        <v>27</v>
      </c>
      <c r="B13" t="s">
        <v>28</v>
      </c>
      <c r="C13">
        <v>4</v>
      </c>
      <c r="E13" s="12" t="s">
        <v>111</v>
      </c>
      <c r="F13" s="6" t="s">
        <v>30</v>
      </c>
      <c r="G13" s="6" t="s">
        <v>23</v>
      </c>
      <c r="H13" s="6" t="s">
        <v>110</v>
      </c>
      <c r="I13" s="6">
        <v>0</v>
      </c>
      <c r="J13" s="3">
        <f t="shared" ref="J13:J22" si="2">I13*C13</f>
        <v>0</v>
      </c>
      <c r="K13" s="3">
        <f t="shared" ref="K13:K22" si="3">I13*D13</f>
        <v>0</v>
      </c>
      <c r="L13" s="6" t="s">
        <v>29</v>
      </c>
    </row>
    <row r="14" spans="1:12">
      <c r="A14" s="8" t="s">
        <v>27</v>
      </c>
      <c r="B14" s="4" t="s">
        <v>73</v>
      </c>
      <c r="C14">
        <v>1</v>
      </c>
      <c r="E14" s="6" t="s">
        <v>55</v>
      </c>
      <c r="F14" s="6" t="s">
        <v>30</v>
      </c>
      <c r="G14" s="6" t="s">
        <v>23</v>
      </c>
      <c r="H14" s="6" t="s">
        <v>82</v>
      </c>
      <c r="I14" s="6">
        <v>0</v>
      </c>
      <c r="J14" s="3">
        <f t="shared" si="2"/>
        <v>0</v>
      </c>
      <c r="K14" s="3">
        <f t="shared" si="3"/>
        <v>0</v>
      </c>
      <c r="L14" s="6" t="s">
        <v>29</v>
      </c>
    </row>
    <row r="15" spans="1:12">
      <c r="A15" s="8" t="s">
        <v>27</v>
      </c>
      <c r="B15" s="4" t="s">
        <v>74</v>
      </c>
      <c r="C15">
        <v>1</v>
      </c>
      <c r="E15" s="6" t="s">
        <v>55</v>
      </c>
      <c r="F15" s="6" t="s">
        <v>30</v>
      </c>
      <c r="G15" s="6" t="s">
        <v>23</v>
      </c>
      <c r="H15" s="6"/>
      <c r="I15" s="6">
        <v>0</v>
      </c>
      <c r="J15" s="3">
        <f t="shared" si="2"/>
        <v>0</v>
      </c>
      <c r="K15" s="3">
        <f t="shared" si="3"/>
        <v>0</v>
      </c>
      <c r="L15" s="6" t="s">
        <v>29</v>
      </c>
    </row>
    <row r="16" spans="1:12">
      <c r="A16" s="8" t="s">
        <v>27</v>
      </c>
      <c r="B16" s="4" t="s">
        <v>75</v>
      </c>
      <c r="C16">
        <v>1</v>
      </c>
      <c r="E16" s="6" t="s">
        <v>55</v>
      </c>
      <c r="F16" s="6" t="s">
        <v>30</v>
      </c>
      <c r="G16" s="6" t="s">
        <v>23</v>
      </c>
      <c r="H16" s="6"/>
      <c r="I16" s="6">
        <v>0</v>
      </c>
      <c r="J16" s="3">
        <f t="shared" si="2"/>
        <v>0</v>
      </c>
      <c r="K16" s="3">
        <f t="shared" si="3"/>
        <v>0</v>
      </c>
      <c r="L16" s="6" t="s">
        <v>29</v>
      </c>
    </row>
    <row r="17" spans="1:12">
      <c r="A17" s="8" t="s">
        <v>27</v>
      </c>
      <c r="B17" s="4" t="s">
        <v>76</v>
      </c>
      <c r="C17">
        <v>1</v>
      </c>
      <c r="E17" s="6" t="s">
        <v>55</v>
      </c>
      <c r="F17" s="6" t="s">
        <v>30</v>
      </c>
      <c r="G17" s="6" t="s">
        <v>23</v>
      </c>
      <c r="H17" s="6"/>
      <c r="I17" s="6">
        <v>0</v>
      </c>
      <c r="J17" s="3">
        <f t="shared" si="2"/>
        <v>0</v>
      </c>
      <c r="K17" s="3">
        <f t="shared" si="3"/>
        <v>0</v>
      </c>
      <c r="L17" s="6" t="s">
        <v>29</v>
      </c>
    </row>
    <row r="18" spans="1:12">
      <c r="A18" s="8" t="s">
        <v>27</v>
      </c>
      <c r="B18" s="4" t="s">
        <v>77</v>
      </c>
      <c r="C18">
        <v>1</v>
      </c>
      <c r="E18" s="6" t="s">
        <v>55</v>
      </c>
      <c r="F18" s="6" t="s">
        <v>30</v>
      </c>
      <c r="G18" s="6" t="s">
        <v>23</v>
      </c>
      <c r="H18" s="6"/>
      <c r="I18" s="6">
        <v>0</v>
      </c>
      <c r="J18" s="3">
        <f t="shared" si="2"/>
        <v>0</v>
      </c>
      <c r="K18" s="3">
        <f t="shared" si="3"/>
        <v>0</v>
      </c>
      <c r="L18" s="6" t="s">
        <v>29</v>
      </c>
    </row>
    <row r="19" spans="1:12">
      <c r="A19" s="8" t="s">
        <v>27</v>
      </c>
      <c r="B19" t="s">
        <v>72</v>
      </c>
      <c r="C19">
        <v>4</v>
      </c>
      <c r="E19" s="12" t="s">
        <v>112</v>
      </c>
      <c r="F19" s="6" t="s">
        <v>30</v>
      </c>
      <c r="G19" s="6" t="s">
        <v>23</v>
      </c>
      <c r="H19" s="6" t="s">
        <v>84</v>
      </c>
      <c r="I19" s="6">
        <v>0</v>
      </c>
      <c r="J19" s="3">
        <f t="shared" si="2"/>
        <v>0</v>
      </c>
      <c r="K19" s="3">
        <f t="shared" si="3"/>
        <v>0</v>
      </c>
      <c r="L19" s="6" t="s">
        <v>29</v>
      </c>
    </row>
    <row r="20" spans="1:12">
      <c r="A20" s="8" t="s">
        <v>27</v>
      </c>
      <c r="B20" t="s">
        <v>33</v>
      </c>
      <c r="C20">
        <v>8</v>
      </c>
      <c r="E20" s="12" t="s">
        <v>54</v>
      </c>
      <c r="F20" s="6" t="s">
        <v>30</v>
      </c>
      <c r="G20" s="6" t="s">
        <v>23</v>
      </c>
      <c r="H20" s="6"/>
      <c r="I20" s="6">
        <v>0</v>
      </c>
      <c r="J20" s="3">
        <f t="shared" si="2"/>
        <v>0</v>
      </c>
      <c r="K20" s="3">
        <f t="shared" si="3"/>
        <v>0</v>
      </c>
      <c r="L20" s="6" t="s">
        <v>29</v>
      </c>
    </row>
    <row r="21" spans="1:12">
      <c r="A21" s="8" t="s">
        <v>27</v>
      </c>
      <c r="B21" t="s">
        <v>78</v>
      </c>
      <c r="C21">
        <v>1</v>
      </c>
      <c r="E21" s="6" t="s">
        <v>54</v>
      </c>
      <c r="F21" s="6" t="s">
        <v>30</v>
      </c>
      <c r="G21" s="6" t="s">
        <v>23</v>
      </c>
      <c r="H21" s="6"/>
      <c r="I21" s="6">
        <v>0</v>
      </c>
      <c r="J21" s="3">
        <f t="shared" si="2"/>
        <v>0</v>
      </c>
      <c r="K21" s="3">
        <f t="shared" si="3"/>
        <v>0</v>
      </c>
      <c r="L21" s="6" t="s">
        <v>29</v>
      </c>
    </row>
    <row r="22" spans="1:12">
      <c r="A22" s="8" t="s">
        <v>27</v>
      </c>
      <c r="B22" t="s">
        <v>79</v>
      </c>
      <c r="C22">
        <v>1</v>
      </c>
      <c r="E22" s="6" t="s">
        <v>54</v>
      </c>
      <c r="F22" s="6" t="s">
        <v>30</v>
      </c>
      <c r="G22" s="6" t="s">
        <v>23</v>
      </c>
      <c r="H22" s="6"/>
      <c r="I22" s="6">
        <v>0</v>
      </c>
      <c r="J22" s="3">
        <f t="shared" si="2"/>
        <v>0</v>
      </c>
      <c r="K22" s="3">
        <f t="shared" si="3"/>
        <v>0</v>
      </c>
      <c r="L22" s="6" t="s">
        <v>29</v>
      </c>
    </row>
  </sheetData>
  <autoFilter ref="A2:L2" xr:uid="{93E5D1FD-22B4-BC48-B227-3781614AC406}">
    <sortState xmlns:xlrd2="http://schemas.microsoft.com/office/spreadsheetml/2017/richdata2" ref="A3:L36">
      <sortCondition ref="A2:A3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9F7C-C247-1D46-BC00-438E18CD0E8B}">
  <dimension ref="A1:L27"/>
  <sheetViews>
    <sheetView workbookViewId="0">
      <selection activeCell="A25" sqref="A25:XFD27"/>
    </sheetView>
  </sheetViews>
  <sheetFormatPr baseColWidth="10" defaultRowHeight="16"/>
  <cols>
    <col min="2" max="2" width="38.140625" bestFit="1" customWidth="1"/>
    <col min="3" max="3" width="9.5703125" bestFit="1" customWidth="1"/>
    <col min="5" max="5" width="15.7109375" customWidth="1"/>
    <col min="6" max="6" width="21" bestFit="1" customWidth="1"/>
    <col min="7" max="7" width="15.7109375" customWidth="1"/>
    <col min="8" max="8" width="63" bestFit="1" customWidth="1"/>
    <col min="9" max="9" width="15.28515625" customWidth="1"/>
    <col min="10" max="10" width="14" bestFit="1" customWidth="1"/>
    <col min="11" max="11" width="14" customWidth="1"/>
    <col min="12" max="12" width="13.140625" bestFit="1" customWidth="1"/>
  </cols>
  <sheetData>
    <row r="1" spans="1:12" s="1" customFormat="1" ht="71" customHeight="1">
      <c r="A1" s="2" t="s">
        <v>1</v>
      </c>
      <c r="B1" s="2" t="s">
        <v>0</v>
      </c>
      <c r="C1" s="2" t="s">
        <v>2</v>
      </c>
      <c r="D1" s="2" t="s">
        <v>45</v>
      </c>
      <c r="E1" s="2" t="s">
        <v>3</v>
      </c>
      <c r="F1" s="2" t="s">
        <v>4</v>
      </c>
      <c r="G1" s="2" t="s">
        <v>20</v>
      </c>
      <c r="H1" s="2" t="s">
        <v>6</v>
      </c>
      <c r="I1" s="2" t="s">
        <v>12</v>
      </c>
      <c r="J1" s="2" t="s">
        <v>5</v>
      </c>
      <c r="K1" s="2" t="s">
        <v>47</v>
      </c>
      <c r="L1" s="2" t="s">
        <v>19</v>
      </c>
    </row>
    <row r="2" spans="1:12" ht="51">
      <c r="A2" s="7" t="s">
        <v>7</v>
      </c>
      <c r="B2" t="s">
        <v>16</v>
      </c>
      <c r="C2">
        <v>1</v>
      </c>
      <c r="E2" t="s">
        <v>10</v>
      </c>
      <c r="F2" s="11" t="s">
        <v>97</v>
      </c>
      <c r="G2" t="s">
        <v>21</v>
      </c>
      <c r="H2" s="1" t="s">
        <v>42</v>
      </c>
      <c r="J2" s="3">
        <f t="shared" ref="J2:J24" si="0">I2*C2</f>
        <v>0</v>
      </c>
      <c r="K2" s="3">
        <f>I2*D2</f>
        <v>0</v>
      </c>
      <c r="L2" t="s">
        <v>22</v>
      </c>
    </row>
    <row r="3" spans="1:12">
      <c r="A3" s="7" t="s">
        <v>7</v>
      </c>
      <c r="B3" t="s">
        <v>69</v>
      </c>
      <c r="C3">
        <v>1</v>
      </c>
      <c r="E3" t="s">
        <v>41</v>
      </c>
      <c r="F3" t="s">
        <v>49</v>
      </c>
      <c r="G3" t="s">
        <v>21</v>
      </c>
      <c r="H3" t="s">
        <v>46</v>
      </c>
      <c r="I3">
        <v>6.5</v>
      </c>
      <c r="J3" s="3">
        <f t="shared" si="0"/>
        <v>6.5</v>
      </c>
      <c r="K3" s="3">
        <f>I3*D3</f>
        <v>0</v>
      </c>
      <c r="L3" t="s">
        <v>50</v>
      </c>
    </row>
    <row r="4" spans="1:12">
      <c r="A4" s="7" t="s">
        <v>7</v>
      </c>
      <c r="B4" t="s">
        <v>8</v>
      </c>
      <c r="C4">
        <v>4</v>
      </c>
      <c r="E4" t="s">
        <v>10</v>
      </c>
      <c r="F4" t="s">
        <v>11</v>
      </c>
      <c r="G4" t="s">
        <v>21</v>
      </c>
      <c r="H4" t="s">
        <v>67</v>
      </c>
      <c r="I4">
        <v>0.17</v>
      </c>
      <c r="J4" s="3">
        <f t="shared" si="0"/>
        <v>0.68</v>
      </c>
      <c r="K4" s="3">
        <f>I4*D4</f>
        <v>0</v>
      </c>
      <c r="L4" t="s">
        <v>50</v>
      </c>
    </row>
    <row r="5" spans="1:12">
      <c r="A5" s="7" t="s">
        <v>7</v>
      </c>
      <c r="B5" t="s">
        <v>94</v>
      </c>
      <c r="C5">
        <v>2</v>
      </c>
      <c r="E5" t="s">
        <v>10</v>
      </c>
      <c r="F5" t="s">
        <v>93</v>
      </c>
      <c r="G5" t="s">
        <v>21</v>
      </c>
      <c r="H5" t="s">
        <v>96</v>
      </c>
      <c r="J5" s="3">
        <f t="shared" si="0"/>
        <v>0</v>
      </c>
      <c r="K5" s="3"/>
    </row>
    <row r="6" spans="1:12">
      <c r="A6" s="7" t="s">
        <v>7</v>
      </c>
      <c r="B6" t="s">
        <v>95</v>
      </c>
      <c r="C6">
        <v>2</v>
      </c>
      <c r="E6" t="s">
        <v>10</v>
      </c>
      <c r="F6" t="s">
        <v>92</v>
      </c>
      <c r="G6" t="s">
        <v>21</v>
      </c>
      <c r="H6" t="s">
        <v>91</v>
      </c>
      <c r="J6" s="3">
        <f t="shared" si="0"/>
        <v>0</v>
      </c>
      <c r="K6" s="3"/>
    </row>
    <row r="7" spans="1:12" ht="17">
      <c r="A7" s="7" t="s">
        <v>7</v>
      </c>
      <c r="B7" t="s">
        <v>13</v>
      </c>
      <c r="C7">
        <v>1</v>
      </c>
      <c r="E7" t="s">
        <v>10</v>
      </c>
      <c r="F7" t="s">
        <v>14</v>
      </c>
      <c r="G7" t="s">
        <v>21</v>
      </c>
      <c r="H7" s="1" t="s">
        <v>66</v>
      </c>
      <c r="I7">
        <v>31.15</v>
      </c>
      <c r="J7" s="3">
        <f t="shared" si="0"/>
        <v>31.15</v>
      </c>
      <c r="K7" s="3">
        <f t="shared" ref="K7:K14" si="1">I7*D7</f>
        <v>0</v>
      </c>
      <c r="L7" t="s">
        <v>40</v>
      </c>
    </row>
    <row r="8" spans="1:12">
      <c r="A8" s="7" t="s">
        <v>7</v>
      </c>
      <c r="B8" t="s">
        <v>17</v>
      </c>
      <c r="C8">
        <v>2</v>
      </c>
      <c r="E8" t="s">
        <v>10</v>
      </c>
      <c r="F8" t="s">
        <v>18</v>
      </c>
      <c r="G8" t="s">
        <v>21</v>
      </c>
      <c r="H8" t="s">
        <v>9</v>
      </c>
      <c r="I8">
        <v>0.9</v>
      </c>
      <c r="J8" s="3">
        <f t="shared" si="0"/>
        <v>1.8</v>
      </c>
      <c r="K8" s="3">
        <f t="shared" si="1"/>
        <v>0</v>
      </c>
      <c r="L8" t="s">
        <v>50</v>
      </c>
    </row>
    <row r="9" spans="1:12">
      <c r="A9" s="7" t="s">
        <v>7</v>
      </c>
      <c r="B9" t="s">
        <v>57</v>
      </c>
      <c r="C9">
        <v>1</v>
      </c>
      <c r="E9" t="s">
        <v>10</v>
      </c>
      <c r="F9" s="5" t="s">
        <v>24</v>
      </c>
      <c r="G9" t="s">
        <v>21</v>
      </c>
      <c r="H9" t="s">
        <v>25</v>
      </c>
      <c r="I9">
        <v>20</v>
      </c>
      <c r="J9" s="3">
        <f t="shared" si="0"/>
        <v>20</v>
      </c>
      <c r="K9" s="3">
        <f t="shared" si="1"/>
        <v>0</v>
      </c>
      <c r="L9" t="s">
        <v>50</v>
      </c>
    </row>
    <row r="10" spans="1:12">
      <c r="A10" s="7" t="s">
        <v>7</v>
      </c>
      <c r="B10" t="s">
        <v>15</v>
      </c>
      <c r="E10" s="6" t="s">
        <v>23</v>
      </c>
      <c r="F10" s="6" t="s">
        <v>23</v>
      </c>
      <c r="G10" s="6" t="s">
        <v>22</v>
      </c>
      <c r="H10" s="6" t="s">
        <v>22</v>
      </c>
      <c r="I10" s="6">
        <v>0</v>
      </c>
      <c r="J10" s="3">
        <f t="shared" si="0"/>
        <v>0</v>
      </c>
      <c r="K10" s="3">
        <f t="shared" si="1"/>
        <v>0</v>
      </c>
      <c r="L10" s="6" t="s">
        <v>22</v>
      </c>
    </row>
    <row r="11" spans="1:12">
      <c r="A11" s="7" t="s">
        <v>7</v>
      </c>
      <c r="B11" t="s">
        <v>26</v>
      </c>
      <c r="C11">
        <v>1</v>
      </c>
      <c r="E11" t="s">
        <v>23</v>
      </c>
      <c r="F11" t="s">
        <v>23</v>
      </c>
      <c r="G11" t="s">
        <v>23</v>
      </c>
      <c r="H11" s="6" t="s">
        <v>22</v>
      </c>
      <c r="I11">
        <v>0</v>
      </c>
      <c r="J11" s="3">
        <f t="shared" si="0"/>
        <v>0</v>
      </c>
      <c r="K11" s="3">
        <f t="shared" si="1"/>
        <v>0</v>
      </c>
      <c r="L11" t="s">
        <v>22</v>
      </c>
    </row>
    <row r="12" spans="1:12">
      <c r="A12" s="7" t="s">
        <v>7</v>
      </c>
      <c r="B12" t="s">
        <v>39</v>
      </c>
      <c r="C12">
        <v>1</v>
      </c>
      <c r="E12" s="6" t="s">
        <v>23</v>
      </c>
      <c r="F12" s="6" t="s">
        <v>23</v>
      </c>
      <c r="G12" s="6" t="s">
        <v>23</v>
      </c>
      <c r="H12" s="6" t="s">
        <v>22</v>
      </c>
      <c r="I12" s="6">
        <v>0</v>
      </c>
      <c r="J12" s="3">
        <f t="shared" si="0"/>
        <v>0</v>
      </c>
      <c r="K12" s="3">
        <f t="shared" si="1"/>
        <v>0</v>
      </c>
      <c r="L12" s="6" t="s">
        <v>22</v>
      </c>
    </row>
    <row r="13" spans="1:12">
      <c r="A13" s="7" t="s">
        <v>7</v>
      </c>
      <c r="B13" t="s">
        <v>63</v>
      </c>
      <c r="C13">
        <v>1</v>
      </c>
      <c r="F13" s="4"/>
      <c r="H13" s="6" t="s">
        <v>64</v>
      </c>
      <c r="J13" s="3">
        <f t="shared" si="0"/>
        <v>0</v>
      </c>
      <c r="K13" s="3">
        <f t="shared" si="1"/>
        <v>0</v>
      </c>
      <c r="L13" t="s">
        <v>22</v>
      </c>
    </row>
    <row r="14" spans="1:12">
      <c r="A14" s="7" t="s">
        <v>7</v>
      </c>
      <c r="B14" t="s">
        <v>62</v>
      </c>
      <c r="C14">
        <v>1</v>
      </c>
      <c r="F14" s="4"/>
      <c r="H14" s="6" t="s">
        <v>65</v>
      </c>
      <c r="J14" s="3">
        <f t="shared" si="0"/>
        <v>0</v>
      </c>
      <c r="K14" s="3">
        <f t="shared" si="1"/>
        <v>0</v>
      </c>
      <c r="L14" t="s">
        <v>22</v>
      </c>
    </row>
    <row r="15" spans="1:12">
      <c r="A15" s="7" t="s">
        <v>7</v>
      </c>
      <c r="B15" t="s">
        <v>68</v>
      </c>
      <c r="C15">
        <v>1</v>
      </c>
      <c r="E15" t="s">
        <v>10</v>
      </c>
      <c r="F15" t="s">
        <v>90</v>
      </c>
      <c r="G15" t="s">
        <v>21</v>
      </c>
      <c r="H15" s="6"/>
      <c r="J15" s="3">
        <f t="shared" si="0"/>
        <v>0</v>
      </c>
      <c r="K15" s="3"/>
    </row>
    <row r="16" spans="1:12">
      <c r="A16" s="7" t="s">
        <v>7</v>
      </c>
      <c r="B16" t="s">
        <v>70</v>
      </c>
      <c r="C16">
        <v>1</v>
      </c>
      <c r="E16" t="s">
        <v>10</v>
      </c>
      <c r="F16" t="s">
        <v>89</v>
      </c>
      <c r="G16" t="s">
        <v>21</v>
      </c>
      <c r="H16" s="6"/>
      <c r="I16">
        <v>4.9000000000000004</v>
      </c>
      <c r="J16" s="3">
        <f t="shared" si="0"/>
        <v>4.9000000000000004</v>
      </c>
      <c r="K16" s="3"/>
    </row>
    <row r="17" spans="1:12">
      <c r="A17" s="7" t="s">
        <v>7</v>
      </c>
      <c r="B17" t="s">
        <v>71</v>
      </c>
      <c r="C17">
        <v>1</v>
      </c>
      <c r="E17" t="s">
        <v>10</v>
      </c>
      <c r="F17" t="s">
        <v>88</v>
      </c>
      <c r="G17" t="s">
        <v>21</v>
      </c>
      <c r="H17" s="6"/>
      <c r="I17">
        <v>5.5</v>
      </c>
      <c r="J17" s="3">
        <f t="shared" si="0"/>
        <v>5.5</v>
      </c>
      <c r="K17" s="3"/>
    </row>
    <row r="18" spans="1:12">
      <c r="A18" s="9" t="s">
        <v>34</v>
      </c>
      <c r="B18" t="s">
        <v>43</v>
      </c>
      <c r="C18">
        <v>1</v>
      </c>
      <c r="E18" s="6" t="s">
        <v>44</v>
      </c>
      <c r="F18" t="s">
        <v>38</v>
      </c>
      <c r="G18" s="6" t="s">
        <v>22</v>
      </c>
      <c r="H18" s="6"/>
      <c r="I18" s="6">
        <v>93.67</v>
      </c>
      <c r="J18" s="3">
        <f t="shared" si="0"/>
        <v>93.67</v>
      </c>
      <c r="K18" s="3">
        <f t="shared" ref="K18:K23" si="2">I18*D18</f>
        <v>0</v>
      </c>
      <c r="L18" s="6" t="s">
        <v>22</v>
      </c>
    </row>
    <row r="19" spans="1:12">
      <c r="A19" s="9" t="s">
        <v>34</v>
      </c>
      <c r="B19" s="4" t="s">
        <v>36</v>
      </c>
      <c r="C19">
        <v>1</v>
      </c>
      <c r="E19" s="6" t="s">
        <v>53</v>
      </c>
      <c r="F19" s="10"/>
      <c r="G19" s="6"/>
      <c r="H19" t="s">
        <v>102</v>
      </c>
      <c r="J19" s="3">
        <f t="shared" si="0"/>
        <v>0</v>
      </c>
      <c r="K19" s="3">
        <f t="shared" si="2"/>
        <v>0</v>
      </c>
      <c r="L19" s="6" t="s">
        <v>22</v>
      </c>
    </row>
    <row r="20" spans="1:12">
      <c r="A20" s="9" t="s">
        <v>34</v>
      </c>
      <c r="B20" t="s">
        <v>48</v>
      </c>
      <c r="C20">
        <v>1</v>
      </c>
      <c r="E20" s="6" t="s">
        <v>53</v>
      </c>
      <c r="F20" s="10" t="s">
        <v>101</v>
      </c>
      <c r="G20" s="6" t="s">
        <v>21</v>
      </c>
      <c r="H20" t="s">
        <v>103</v>
      </c>
      <c r="I20">
        <v>1.56</v>
      </c>
      <c r="J20" s="3">
        <f t="shared" si="0"/>
        <v>1.56</v>
      </c>
      <c r="K20" s="3">
        <f t="shared" si="2"/>
        <v>0</v>
      </c>
      <c r="L20" s="6" t="s">
        <v>22</v>
      </c>
    </row>
    <row r="21" spans="1:12">
      <c r="A21" s="9" t="s">
        <v>34</v>
      </c>
      <c r="B21" t="s">
        <v>61</v>
      </c>
      <c r="C21">
        <v>3</v>
      </c>
      <c r="E21" s="6" t="s">
        <v>53</v>
      </c>
      <c r="F21" s="6" t="s">
        <v>23</v>
      </c>
      <c r="G21" s="6" t="s">
        <v>22</v>
      </c>
      <c r="H21" s="6"/>
      <c r="I21" s="6">
        <v>0</v>
      </c>
      <c r="J21" s="3">
        <f t="shared" si="0"/>
        <v>0</v>
      </c>
      <c r="K21" s="3">
        <f t="shared" si="2"/>
        <v>0</v>
      </c>
      <c r="L21" s="6" t="s">
        <v>22</v>
      </c>
    </row>
    <row r="22" spans="1:12">
      <c r="A22" s="9" t="s">
        <v>34</v>
      </c>
      <c r="B22" s="4" t="s">
        <v>35</v>
      </c>
      <c r="C22">
        <v>1</v>
      </c>
      <c r="E22" s="6" t="s">
        <v>53</v>
      </c>
      <c r="J22" s="3">
        <f t="shared" si="0"/>
        <v>0</v>
      </c>
      <c r="K22" s="3">
        <f t="shared" si="2"/>
        <v>0</v>
      </c>
      <c r="L22" s="6" t="s">
        <v>22</v>
      </c>
    </row>
    <row r="23" spans="1:12">
      <c r="A23" s="9" t="s">
        <v>34</v>
      </c>
      <c r="B23" s="4" t="s">
        <v>37</v>
      </c>
      <c r="C23">
        <v>1</v>
      </c>
      <c r="E23" s="6" t="s">
        <v>53</v>
      </c>
      <c r="J23" s="3">
        <f t="shared" si="0"/>
        <v>0</v>
      </c>
      <c r="K23" s="3">
        <f t="shared" si="2"/>
        <v>0</v>
      </c>
      <c r="L23" s="6" t="s">
        <v>22</v>
      </c>
    </row>
    <row r="24" spans="1:12">
      <c r="A24" s="9" t="s">
        <v>34</v>
      </c>
      <c r="B24" t="s">
        <v>87</v>
      </c>
      <c r="C24">
        <v>1</v>
      </c>
      <c r="E24" s="6" t="s">
        <v>31</v>
      </c>
      <c r="F24" s="10" t="s">
        <v>86</v>
      </c>
      <c r="G24" s="6" t="s">
        <v>21</v>
      </c>
      <c r="I24">
        <v>0.49</v>
      </c>
      <c r="J24" s="3">
        <f t="shared" si="0"/>
        <v>0.49</v>
      </c>
    </row>
    <row r="25" spans="1:12">
      <c r="A25" s="8" t="s">
        <v>27</v>
      </c>
      <c r="B25" t="s">
        <v>113</v>
      </c>
      <c r="C25">
        <v>4</v>
      </c>
      <c r="D25">
        <v>4</v>
      </c>
      <c r="E25" s="6" t="s">
        <v>31</v>
      </c>
      <c r="F25" s="6" t="s">
        <v>114</v>
      </c>
      <c r="G25" s="6" t="s">
        <v>21</v>
      </c>
      <c r="H25" s="6" t="s">
        <v>115</v>
      </c>
      <c r="I25" s="6">
        <v>1.26</v>
      </c>
      <c r="J25" s="3">
        <f>I25*C25</f>
        <v>5.04</v>
      </c>
      <c r="K25" s="3">
        <f>I25*D25</f>
        <v>5.04</v>
      </c>
    </row>
    <row r="26" spans="1:12">
      <c r="A26" s="8" t="s">
        <v>27</v>
      </c>
      <c r="B26" t="s">
        <v>120</v>
      </c>
      <c r="C26">
        <v>6</v>
      </c>
      <c r="D26">
        <v>6</v>
      </c>
      <c r="E26" s="6" t="s">
        <v>31</v>
      </c>
      <c r="F26" s="6" t="s">
        <v>119</v>
      </c>
      <c r="G26" s="6" t="s">
        <v>21</v>
      </c>
      <c r="H26" s="6" t="s">
        <v>121</v>
      </c>
      <c r="I26" s="6">
        <v>3.45</v>
      </c>
      <c r="J26" s="3">
        <f>I26*C26</f>
        <v>20.700000000000003</v>
      </c>
      <c r="K26" s="3">
        <f>I26*D26</f>
        <v>20.700000000000003</v>
      </c>
    </row>
    <row r="27" spans="1:12">
      <c r="A27" s="8" t="s">
        <v>27</v>
      </c>
      <c r="B27" t="s">
        <v>116</v>
      </c>
      <c r="C27">
        <v>4</v>
      </c>
      <c r="D27">
        <v>4</v>
      </c>
      <c r="E27" s="6" t="s">
        <v>31</v>
      </c>
      <c r="F27" s="6" t="s">
        <v>117</v>
      </c>
      <c r="G27" s="6" t="s">
        <v>21</v>
      </c>
      <c r="H27" s="6" t="s">
        <v>118</v>
      </c>
      <c r="I27" s="6">
        <v>3.33</v>
      </c>
      <c r="J27" s="3">
        <f>I27*C27</f>
        <v>13.32</v>
      </c>
      <c r="K27" s="3">
        <f>I27*D27</f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 ORDER</vt:lpstr>
      <vt:lpstr>Actuator Stand BOM</vt:lpstr>
      <vt:lpstr>ElectroPneumatics Box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Folinus</dc:creator>
  <cp:lastModifiedBy>Evan L Comiskey</cp:lastModifiedBy>
  <dcterms:created xsi:type="dcterms:W3CDTF">2024-06-24T14:41:42Z</dcterms:created>
  <dcterms:modified xsi:type="dcterms:W3CDTF">2024-11-04T16:43:15Z</dcterms:modified>
</cp:coreProperties>
</file>